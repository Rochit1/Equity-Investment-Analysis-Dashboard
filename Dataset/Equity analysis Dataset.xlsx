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ny_Master" sheetId="1" r:id="rId4"/>
    <sheet state="visible" name="Financial Histroy" sheetId="2" r:id="rId5"/>
    <sheet state="visible" name="Shareholding" sheetId="3" r:id="rId6"/>
    <sheet state="visible" name="Sheet4" sheetId="4" r:id="rId7"/>
  </sheets>
  <definedNames/>
  <calcPr/>
  <extLst>
    <ext uri="GoogleSheetsCustomDataVersion2">
      <go:sheetsCustomData xmlns:go="http://customooxmlschemas.google.com/" r:id="rId8" roundtripDataChecksum="HPw0jDYLDtwsVOKsYFYEcBpd3Xg6YVbYqfL11nknCMo="/>
    </ext>
  </extLst>
</workbook>
</file>

<file path=xl/sharedStrings.xml><?xml version="1.0" encoding="utf-8"?>
<sst xmlns="http://schemas.openxmlformats.org/spreadsheetml/2006/main" count="225" uniqueCount="91">
  <si>
    <t>Company</t>
  </si>
  <si>
    <t>FY</t>
  </si>
  <si>
    <t>Revenue</t>
  </si>
  <si>
    <t>Profit</t>
  </si>
  <si>
    <t>Tata Steel</t>
  </si>
  <si>
    <t>NSE Symbol</t>
  </si>
  <si>
    <t>Sector</t>
  </si>
  <si>
    <t>Industry</t>
  </si>
  <si>
    <t>Market Cap in crs.</t>
  </si>
  <si>
    <t>JSW Steel</t>
  </si>
  <si>
    <t>CMP</t>
  </si>
  <si>
    <t>PE</t>
  </si>
  <si>
    <t>PB</t>
  </si>
  <si>
    <t>Hindalco Industries Ltd.</t>
  </si>
  <si>
    <t>EPS in rs</t>
  </si>
  <si>
    <t>ROE (%age)</t>
  </si>
  <si>
    <t>Promoter %</t>
  </si>
  <si>
    <t>ROCE (%age)</t>
  </si>
  <si>
    <t>FII %</t>
  </si>
  <si>
    <t>OPM (%age)</t>
  </si>
  <si>
    <t>DII %</t>
  </si>
  <si>
    <t>Public %</t>
  </si>
  <si>
    <t>Debt/Equity</t>
  </si>
  <si>
    <t>Vedanta Ltd.</t>
  </si>
  <si>
    <t>Net Profit</t>
  </si>
  <si>
    <t>Dividend Yield (%age)</t>
  </si>
  <si>
    <t>Working Capital</t>
  </si>
  <si>
    <t>52W High</t>
  </si>
  <si>
    <t>Retained Earnings</t>
  </si>
  <si>
    <t>EBIT</t>
  </si>
  <si>
    <t>52W Low</t>
  </si>
  <si>
    <t>NMDC Ltd.</t>
  </si>
  <si>
    <t>Market cap</t>
  </si>
  <si>
    <t>total Borrowings</t>
  </si>
  <si>
    <t>1Y Return (%age)</t>
  </si>
  <si>
    <t>other liabilities</t>
  </si>
  <si>
    <t>total liabilities</t>
  </si>
  <si>
    <t>TATASTEEL</t>
  </si>
  <si>
    <t>Metals</t>
  </si>
  <si>
    <t>Iron &amp; Steel</t>
  </si>
  <si>
    <t>total Assets</t>
  </si>
  <si>
    <t>Jindal Steel Ltd.</t>
  </si>
  <si>
    <t>X1</t>
  </si>
  <si>
    <t>Steel Authority of India Ltd.</t>
  </si>
  <si>
    <t>National Aluminium Co. Ltd.</t>
  </si>
  <si>
    <t>JSWSTEEL</t>
  </si>
  <si>
    <t>Hindustan Zinc Ltd.</t>
  </si>
  <si>
    <t>MOIL Ltd.</t>
  </si>
  <si>
    <t>X2</t>
  </si>
  <si>
    <t>Reliance Industries Ltd.</t>
  </si>
  <si>
    <t>HINDALCO</t>
  </si>
  <si>
    <t>Aluminium</t>
  </si>
  <si>
    <t>X3</t>
  </si>
  <si>
    <t>Oil &amp; Natural Gas Corpn. Ltd.</t>
  </si>
  <si>
    <t>X4</t>
  </si>
  <si>
    <t>X5</t>
  </si>
  <si>
    <t>Oil India Ltd.</t>
  </si>
  <si>
    <t>Z Score</t>
  </si>
  <si>
    <t>Risk Zone</t>
  </si>
  <si>
    <t>Bharat Petroleum Corporation Ltd.</t>
  </si>
  <si>
    <t>Hindustan Petroleum Corporation Ltd.</t>
  </si>
  <si>
    <t>VEDL</t>
  </si>
  <si>
    <t>Diversified Metals</t>
  </si>
  <si>
    <t>GAIL (India) Ltd.</t>
  </si>
  <si>
    <t>Petronet LNG Ltd.</t>
  </si>
  <si>
    <t>NMDC</t>
  </si>
  <si>
    <t>Industrial Minerals</t>
  </si>
  <si>
    <t>Mahanagr Gas Ltd.</t>
  </si>
  <si>
    <t>Adani Total Gas Ltd.</t>
  </si>
  <si>
    <t>Indian Oil Corporation Ltd.</t>
  </si>
  <si>
    <t>JINDALSTEL</t>
  </si>
  <si>
    <t>SAIL</t>
  </si>
  <si>
    <t>NATIONALUM</t>
  </si>
  <si>
    <t>HINDZINC</t>
  </si>
  <si>
    <t>Zinc</t>
  </si>
  <si>
    <t>MOIL</t>
  </si>
  <si>
    <t>RELIANCE</t>
  </si>
  <si>
    <t>Energy</t>
  </si>
  <si>
    <t>Refineries &amp; Marketing</t>
  </si>
  <si>
    <t>ONGC</t>
  </si>
  <si>
    <t>Oil Exploration &amp; Production</t>
  </si>
  <si>
    <t>OIL</t>
  </si>
  <si>
    <t>BPCL</t>
  </si>
  <si>
    <t>HINDPETRO</t>
  </si>
  <si>
    <t>GAIL</t>
  </si>
  <si>
    <t>Gas Transmission/Marketing</t>
  </si>
  <si>
    <t>PETRONET</t>
  </si>
  <si>
    <t>LPG/CNG/PNG/LNG Supplier</t>
  </si>
  <si>
    <t>MGL</t>
  </si>
  <si>
    <t>ATGL</t>
  </si>
  <si>
    <t>IOC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</si>
</sst>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0000"/>
    <numFmt numFmtId="165" formatCode="0.0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2E75B5"/>
        <bgColor rgb="FF2E75B5"/>
      </patternFill>
    </fill>
    <fill>
      <patternFill patternType="solid">
        <fgColor rgb="FF548135"/>
        <bgColor rgb="FF548135"/>
      </patternFill>
    </fill>
    <fill>
      <patternFill patternType="solid">
        <fgColor rgb="FFBF9000"/>
        <bgColor rgb="FFBF9000"/>
      </patternFill>
    </fill>
    <fill>
      <patternFill patternType="solid">
        <fgColor rgb="FFC00000"/>
        <bgColor rgb="FFC00000"/>
      </patternFill>
    </fill>
    <fill>
      <patternFill patternType="solid">
        <fgColor theme="5"/>
        <bgColor theme="5"/>
      </patternFill>
    </fill>
    <fill>
      <patternFill patternType="solid">
        <fgColor rgb="FF6FA8DC"/>
        <bgColor rgb="FF6FA8DC"/>
      </patternFill>
    </fill>
    <fill>
      <patternFill patternType="solid">
        <fgColor rgb="FFF1C232"/>
        <bgColor rgb="FFF1C232"/>
      </patternFill>
    </fill>
    <fill>
      <patternFill patternType="solid">
        <fgColor rgb="FFA61C00"/>
        <bgColor rgb="FFA61C00"/>
      </patternFill>
    </fill>
    <fill>
      <patternFill patternType="solid">
        <fgColor rgb="FF38761D"/>
        <bgColor rgb="FF38761D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1" fillId="2" fontId="2" numFmtId="0" xfId="0" applyBorder="1" applyFont="1"/>
    <xf borderId="1" fillId="3" fontId="2" numFmtId="0" xfId="0" applyBorder="1" applyFill="1" applyFont="1"/>
    <xf borderId="1" fillId="4" fontId="2" numFmtId="0" xfId="0" applyBorder="1" applyFill="1" applyFont="1"/>
    <xf borderId="1" fillId="5" fontId="2" numFmtId="0" xfId="0" applyBorder="1" applyFill="1" applyFont="1"/>
    <xf borderId="1" fillId="6" fontId="2" numFmtId="0" xfId="0" applyBorder="1" applyFill="1" applyFont="1"/>
    <xf borderId="0" fillId="7" fontId="3" numFmtId="164" xfId="0" applyAlignment="1" applyFill="1" applyFont="1" applyNumberFormat="1">
      <alignment readingOrder="0"/>
    </xf>
    <xf borderId="0" fillId="7" fontId="3" numFmtId="0" xfId="0" applyAlignment="1" applyFont="1">
      <alignment readingOrder="0"/>
    </xf>
    <xf borderId="0" fillId="7" fontId="3" numFmtId="165" xfId="0" applyFont="1" applyNumberFormat="1"/>
    <xf borderId="0" fillId="0" fontId="3" numFmtId="165" xfId="0" applyFont="1" applyNumberFormat="1"/>
    <xf borderId="0" fillId="8" fontId="3" numFmtId="0" xfId="0" applyFill="1" applyFont="1"/>
    <xf borderId="0" fillId="9" fontId="3" numFmtId="0" xfId="0" applyFill="1" applyFont="1"/>
    <xf borderId="0" fillId="10" fontId="3" numFmtId="0" xfId="0" applyFill="1" applyFont="1"/>
    <xf borderId="0" fillId="0" fontId="3" numFmtId="165" xfId="0" applyAlignment="1" applyFont="1" applyNumberFormat="1">
      <alignment readingOrder="0"/>
    </xf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43"/>
    <col customWidth="1" min="2" max="2" width="13.43"/>
    <col customWidth="1" min="3" max="4" width="8.71"/>
    <col customWidth="1" min="5" max="5" width="16.86"/>
    <col customWidth="1" min="6" max="9" width="8.71"/>
    <col customWidth="1" min="10" max="10" width="11.14"/>
    <col customWidth="1" min="11" max="11" width="12.29"/>
    <col customWidth="1" min="12" max="12" width="12.0"/>
    <col customWidth="1" min="13" max="13" width="11.71"/>
    <col customWidth="1" min="14" max="18" width="8.71"/>
    <col customWidth="1" min="19" max="19" width="16.29"/>
    <col customWidth="1" min="20" max="26" width="8.71"/>
  </cols>
  <sheetData>
    <row r="1">
      <c r="A1" s="2" t="s">
        <v>0</v>
      </c>
      <c r="B1" s="5" t="s">
        <v>5</v>
      </c>
      <c r="C1" s="5" t="s">
        <v>6</v>
      </c>
      <c r="D1" s="5" t="s">
        <v>7</v>
      </c>
      <c r="E1" s="6" t="s">
        <v>8</v>
      </c>
      <c r="F1" s="6" t="s">
        <v>10</v>
      </c>
      <c r="G1" s="6" t="s">
        <v>11</v>
      </c>
      <c r="H1" s="6" t="s">
        <v>12</v>
      </c>
      <c r="I1" s="7" t="s">
        <v>14</v>
      </c>
      <c r="J1" s="7" t="s">
        <v>15</v>
      </c>
      <c r="K1" s="7" t="s">
        <v>17</v>
      </c>
      <c r="L1" s="7" t="s">
        <v>19</v>
      </c>
      <c r="M1" s="8" t="s">
        <v>22</v>
      </c>
      <c r="N1" s="8" t="s">
        <v>2</v>
      </c>
      <c r="O1" s="8" t="s">
        <v>24</v>
      </c>
      <c r="P1" s="8" t="s">
        <v>25</v>
      </c>
      <c r="Q1" s="9" t="s">
        <v>27</v>
      </c>
      <c r="R1" s="9" t="s">
        <v>30</v>
      </c>
      <c r="S1" s="9" t="s">
        <v>34</v>
      </c>
    </row>
    <row r="2">
      <c r="A2" s="3" t="s">
        <v>4</v>
      </c>
      <c r="B2" s="3" t="s">
        <v>37</v>
      </c>
      <c r="C2" s="3" t="s">
        <v>38</v>
      </c>
      <c r="D2" s="3" t="s">
        <v>39</v>
      </c>
      <c r="E2" s="3">
        <v>238123.0</v>
      </c>
      <c r="F2" s="3">
        <v>190.75</v>
      </c>
      <c r="G2" s="3">
        <v>21.0</v>
      </c>
      <c r="H2" s="3">
        <v>2.35</v>
      </c>
      <c r="I2" s="3">
        <v>8.65</v>
      </c>
      <c r="J2" s="3">
        <v>11.7</v>
      </c>
      <c r="K2" s="3">
        <v>12.5</v>
      </c>
      <c r="L2" s="3">
        <v>16.0</v>
      </c>
      <c r="M2" s="3">
        <v>0.9</v>
      </c>
      <c r="N2" s="3">
        <v>232140.0</v>
      </c>
      <c r="O2" s="3">
        <v>10886.0</v>
      </c>
      <c r="P2" s="3">
        <v>2.08</v>
      </c>
      <c r="Q2" s="3">
        <v>224.0</v>
      </c>
      <c r="R2" s="3">
        <v>153.0</v>
      </c>
      <c r="S2" s="3">
        <v>15.19</v>
      </c>
    </row>
    <row r="3">
      <c r="A3" s="3" t="s">
        <v>9</v>
      </c>
      <c r="B3" s="3" t="s">
        <v>45</v>
      </c>
      <c r="C3" s="3" t="s">
        <v>38</v>
      </c>
      <c r="D3" s="3" t="s">
        <v>39</v>
      </c>
      <c r="E3" s="3">
        <v>301708.0</v>
      </c>
      <c r="F3" s="3">
        <v>1233.75</v>
      </c>
      <c r="G3" s="3">
        <v>33.2</v>
      </c>
      <c r="H3" s="3">
        <v>2.99</v>
      </c>
      <c r="I3" s="3">
        <v>91.26</v>
      </c>
      <c r="J3" s="3">
        <v>10.1</v>
      </c>
      <c r="K3" s="3">
        <v>10.9</v>
      </c>
      <c r="L3" s="3">
        <v>17.0</v>
      </c>
      <c r="M3" s="3">
        <v>0.99</v>
      </c>
      <c r="N3" s="3">
        <v>185470.0</v>
      </c>
      <c r="O3" s="3">
        <v>25508.0</v>
      </c>
      <c r="P3" s="3">
        <v>0.58</v>
      </c>
      <c r="Q3" s="3">
        <v>1328.0</v>
      </c>
      <c r="R3" s="3">
        <v>1008.0</v>
      </c>
      <c r="S3" s="3">
        <v>17.93</v>
      </c>
    </row>
    <row r="4">
      <c r="A4" s="3" t="s">
        <v>13</v>
      </c>
      <c r="B4" s="3" t="s">
        <v>50</v>
      </c>
      <c r="C4" s="3" t="s">
        <v>38</v>
      </c>
      <c r="D4" s="3" t="s">
        <v>51</v>
      </c>
      <c r="E4" s="3">
        <v>216711.0</v>
      </c>
      <c r="F4" s="3">
        <v>961.5</v>
      </c>
      <c r="G4" s="3">
        <v>12.4</v>
      </c>
      <c r="H4" s="3">
        <v>1.61</v>
      </c>
      <c r="I4" s="3">
        <v>11.56</v>
      </c>
      <c r="J4" s="3">
        <v>13.5</v>
      </c>
      <c r="K4" s="3">
        <v>13.7</v>
      </c>
      <c r="L4" s="3">
        <v>13.0</v>
      </c>
      <c r="M4" s="3">
        <v>0.73</v>
      </c>
      <c r="N4" s="3">
        <v>274944.0</v>
      </c>
      <c r="O4" s="3">
        <v>13391.0</v>
      </c>
      <c r="P4" s="3">
        <v>0.52</v>
      </c>
      <c r="Q4" s="3">
        <v>1176.0</v>
      </c>
      <c r="R4" s="3">
        <v>657.5</v>
      </c>
      <c r="S4" s="3">
        <v>38.57</v>
      </c>
    </row>
    <row r="5">
      <c r="A5" s="3" t="s">
        <v>23</v>
      </c>
      <c r="B5" s="3" t="s">
        <v>61</v>
      </c>
      <c r="C5" s="3" t="s">
        <v>38</v>
      </c>
      <c r="D5" s="3" t="s">
        <v>62</v>
      </c>
      <c r="E5" s="3">
        <v>109706.0</v>
      </c>
      <c r="F5" s="3">
        <v>280.2</v>
      </c>
      <c r="G5" s="3">
        <v>6.29</v>
      </c>
      <c r="H5" s="3">
        <v>2.2</v>
      </c>
      <c r="I5" s="3">
        <v>17.13</v>
      </c>
      <c r="J5" s="3">
        <v>38.2</v>
      </c>
      <c r="K5" s="3">
        <v>16.1</v>
      </c>
      <c r="L5" s="3">
        <v>31.0</v>
      </c>
      <c r="M5" s="3">
        <v>0.66</v>
      </c>
      <c r="N5" s="3">
        <v>78437.0</v>
      </c>
      <c r="O5" s="3">
        <v>25096.0</v>
      </c>
      <c r="P5" s="3">
        <v>15.5</v>
      </c>
      <c r="Q5" s="3">
        <v>795.0</v>
      </c>
      <c r="R5" s="3">
        <v>268.5</v>
      </c>
      <c r="S5" s="3">
        <v>-38.89</v>
      </c>
    </row>
    <row r="6">
      <c r="A6" s="3" t="s">
        <v>31</v>
      </c>
      <c r="B6" s="3" t="s">
        <v>65</v>
      </c>
      <c r="C6" s="3" t="s">
        <v>38</v>
      </c>
      <c r="D6" s="3" t="s">
        <v>66</v>
      </c>
      <c r="E6" s="3">
        <v>75539.0</v>
      </c>
      <c r="F6" s="3">
        <v>85.95</v>
      </c>
      <c r="G6" s="3">
        <v>10.1</v>
      </c>
      <c r="H6" s="3">
        <v>2.24</v>
      </c>
      <c r="I6" s="3">
        <v>2.31</v>
      </c>
      <c r="J6" s="3">
        <v>27.6</v>
      </c>
      <c r="K6" s="3">
        <v>23.4</v>
      </c>
      <c r="L6" s="3">
        <v>23.0</v>
      </c>
      <c r="M6" s="3">
        <v>0.19</v>
      </c>
      <c r="N6" s="3">
        <v>32071.0</v>
      </c>
      <c r="O6" s="3">
        <v>7450.0</v>
      </c>
      <c r="P6" s="3">
        <v>3.8</v>
      </c>
      <c r="Q6" s="3">
        <v>97.49</v>
      </c>
      <c r="R6" s="3">
        <v>67.0</v>
      </c>
      <c r="S6" s="3">
        <v>24.53</v>
      </c>
    </row>
    <row r="7">
      <c r="A7" s="3" t="s">
        <v>41</v>
      </c>
      <c r="B7" s="3" t="s">
        <v>70</v>
      </c>
      <c r="C7" s="3" t="s">
        <v>38</v>
      </c>
      <c r="D7" s="3" t="s">
        <v>39</v>
      </c>
      <c r="E7" s="3">
        <v>107680.0</v>
      </c>
      <c r="F7" s="3">
        <v>1057.1</v>
      </c>
      <c r="G7" s="3">
        <v>26.8</v>
      </c>
      <c r="H7" s="3">
        <v>2.12</v>
      </c>
      <c r="I7" s="3">
        <v>10.24</v>
      </c>
      <c r="J7" s="3">
        <v>8.22</v>
      </c>
      <c r="K7" s="3">
        <v>9.7</v>
      </c>
      <c r="L7" s="3">
        <v>18.0</v>
      </c>
      <c r="M7" s="3">
        <v>0.44</v>
      </c>
      <c r="N7" s="3">
        <v>53225.0</v>
      </c>
      <c r="O7" s="3">
        <v>3361.0</v>
      </c>
      <c r="P7" s="3">
        <v>0.19</v>
      </c>
      <c r="Q7" s="3">
        <v>1306.2</v>
      </c>
      <c r="R7" s="3">
        <v>914.6</v>
      </c>
      <c r="S7" s="3">
        <v>10.54</v>
      </c>
    </row>
    <row r="8">
      <c r="A8" s="3" t="s">
        <v>43</v>
      </c>
      <c r="B8" s="3" t="s">
        <v>71</v>
      </c>
      <c r="C8" s="3" t="s">
        <v>38</v>
      </c>
      <c r="D8" s="3" t="s">
        <v>39</v>
      </c>
      <c r="E8" s="3">
        <v>70198.0</v>
      </c>
      <c r="F8" s="3">
        <v>169.66</v>
      </c>
      <c r="G8" s="3">
        <v>18.3</v>
      </c>
      <c r="H8" s="3">
        <v>1.2</v>
      </c>
      <c r="I8" s="3">
        <v>4.4</v>
      </c>
      <c r="J8" s="3">
        <v>6.43</v>
      </c>
      <c r="K8" s="3">
        <v>7.79</v>
      </c>
      <c r="L8" s="3">
        <v>14.0</v>
      </c>
      <c r="M8" s="3">
        <v>0.53</v>
      </c>
      <c r="N8" s="3">
        <v>110811.0</v>
      </c>
      <c r="O8" s="3">
        <v>3373.0</v>
      </c>
      <c r="P8" s="3">
        <v>0.91</v>
      </c>
      <c r="Q8" s="3">
        <v>209.7</v>
      </c>
      <c r="R8" s="3">
        <v>118.1</v>
      </c>
      <c r="S8" s="3">
        <v>24.42</v>
      </c>
    </row>
    <row r="9">
      <c r="A9" s="3" t="s">
        <v>44</v>
      </c>
      <c r="B9" s="3" t="s">
        <v>72</v>
      </c>
      <c r="C9" s="3" t="s">
        <v>38</v>
      </c>
      <c r="D9" s="3" t="s">
        <v>51</v>
      </c>
      <c r="E9" s="3">
        <v>63731.0</v>
      </c>
      <c r="F9" s="3">
        <v>345.65</v>
      </c>
      <c r="G9" s="3">
        <v>10.9</v>
      </c>
      <c r="H9" s="3">
        <v>2.95</v>
      </c>
      <c r="I9" s="3">
        <v>9.38</v>
      </c>
      <c r="J9" s="3">
        <v>29.4</v>
      </c>
      <c r="K9" s="3">
        <v>39.6</v>
      </c>
      <c r="L9" s="3">
        <v>47.0</v>
      </c>
      <c r="M9" s="3">
        <v>0.0</v>
      </c>
      <c r="N9" s="3">
        <v>17843.0</v>
      </c>
      <c r="O9" s="3">
        <v>5797.0</v>
      </c>
      <c r="P9" s="3">
        <v>3.04</v>
      </c>
      <c r="Q9" s="3">
        <v>445.15</v>
      </c>
      <c r="R9" s="3">
        <v>179.93</v>
      </c>
      <c r="S9" s="3">
        <v>79.84</v>
      </c>
    </row>
    <row r="10">
      <c r="A10" s="3" t="s">
        <v>46</v>
      </c>
      <c r="B10" s="3" t="s">
        <v>73</v>
      </c>
      <c r="C10" s="3" t="s">
        <v>38</v>
      </c>
      <c r="D10" s="3" t="s">
        <v>74</v>
      </c>
      <c r="E10" s="3">
        <v>227407.0</v>
      </c>
      <c r="F10" s="3">
        <v>540.1</v>
      </c>
      <c r="G10" s="3">
        <v>16.6</v>
      </c>
      <c r="H10" s="3">
        <v>10.1</v>
      </c>
      <c r="I10" s="3">
        <v>11.83</v>
      </c>
      <c r="J10" s="3">
        <v>76.4</v>
      </c>
      <c r="K10" s="3">
        <v>69.2</v>
      </c>
      <c r="L10" s="3">
        <v>57.0</v>
      </c>
      <c r="M10" s="3">
        <v>0.39</v>
      </c>
      <c r="N10" s="3">
        <v>40658.0</v>
      </c>
      <c r="O10" s="3">
        <v>13712.0</v>
      </c>
      <c r="P10" s="3">
        <v>2.01</v>
      </c>
      <c r="Q10" s="3">
        <v>733.0</v>
      </c>
      <c r="R10" s="3">
        <v>413.5</v>
      </c>
      <c r="S10" s="3">
        <v>21.23</v>
      </c>
    </row>
    <row r="11">
      <c r="A11" s="3" t="s">
        <v>47</v>
      </c>
      <c r="B11" s="3" t="s">
        <v>75</v>
      </c>
      <c r="C11" s="3" t="s">
        <v>38</v>
      </c>
      <c r="D11" s="3" t="s">
        <v>66</v>
      </c>
      <c r="E11" s="3">
        <v>5746.0</v>
      </c>
      <c r="F11" s="3">
        <v>282.3</v>
      </c>
      <c r="G11" s="3">
        <v>21.5</v>
      </c>
      <c r="H11" s="3">
        <v>2.11</v>
      </c>
      <c r="I11" s="3">
        <v>4.55</v>
      </c>
      <c r="J11" s="3">
        <v>12.6</v>
      </c>
      <c r="K11" s="3">
        <v>10.0</v>
      </c>
      <c r="L11" s="3">
        <v>31.0</v>
      </c>
      <c r="M11" s="3">
        <v>0.0</v>
      </c>
      <c r="N11" s="3">
        <v>1473.0</v>
      </c>
      <c r="O11" s="3">
        <v>267.0</v>
      </c>
      <c r="P11" s="3">
        <v>1.99</v>
      </c>
      <c r="Q11" s="3">
        <v>404.9</v>
      </c>
      <c r="R11" s="3">
        <v>242.35</v>
      </c>
      <c r="S11" s="3">
        <v>-27.75</v>
      </c>
    </row>
    <row r="13">
      <c r="A13" s="3" t="s">
        <v>49</v>
      </c>
      <c r="B13" s="3" t="s">
        <v>76</v>
      </c>
      <c r="C13" s="3" t="s">
        <v>77</v>
      </c>
      <c r="D13" s="3" t="s">
        <v>78</v>
      </c>
      <c r="E13" s="3">
        <v>1763966.0</v>
      </c>
      <c r="F13" s="3">
        <v>1304.2</v>
      </c>
      <c r="G13" s="3">
        <v>22.6</v>
      </c>
      <c r="H13" s="3">
        <v>1.95</v>
      </c>
      <c r="I13" s="3">
        <v>12.54</v>
      </c>
      <c r="J13" s="3">
        <v>10.3</v>
      </c>
      <c r="K13" s="3">
        <v>8.91</v>
      </c>
      <c r="L13" s="3">
        <v>15.0</v>
      </c>
      <c r="M13" s="3">
        <v>0.45</v>
      </c>
      <c r="N13" s="3">
        <v>1055780.0</v>
      </c>
      <c r="O13" s="3">
        <v>95754.0</v>
      </c>
      <c r="P13" s="3">
        <v>0.46</v>
      </c>
      <c r="Q13" s="3">
        <v>1611.8</v>
      </c>
      <c r="R13" s="3">
        <v>1253.2</v>
      </c>
      <c r="S13" s="3">
        <v>-14.07</v>
      </c>
    </row>
    <row r="14">
      <c r="A14" s="3" t="s">
        <v>53</v>
      </c>
      <c r="B14" s="3" t="s">
        <v>79</v>
      </c>
      <c r="C14" s="3" t="s">
        <v>77</v>
      </c>
      <c r="D14" s="3" t="s">
        <v>80</v>
      </c>
      <c r="E14" s="3">
        <v>300228.0</v>
      </c>
      <c r="F14" s="3">
        <v>238.88</v>
      </c>
      <c r="G14" s="3">
        <v>7.19</v>
      </c>
      <c r="H14" s="3">
        <v>0.81</v>
      </c>
      <c r="I14" s="3">
        <v>8.6</v>
      </c>
      <c r="J14" s="3">
        <v>11.7</v>
      </c>
      <c r="K14" s="3">
        <v>14.2</v>
      </c>
      <c r="L14" s="3">
        <v>15.0</v>
      </c>
      <c r="M14" s="3">
        <v>0.47</v>
      </c>
      <c r="N14" s="3">
        <v>662247.0</v>
      </c>
      <c r="O14" s="3">
        <v>49793.0</v>
      </c>
      <c r="P14" s="3">
        <v>5.18</v>
      </c>
      <c r="Q14" s="3">
        <v>307.5</v>
      </c>
      <c r="R14" s="3">
        <v>227.65</v>
      </c>
      <c r="S14" s="3">
        <v>-2.03</v>
      </c>
    </row>
    <row r="15">
      <c r="A15" s="3" t="s">
        <v>56</v>
      </c>
      <c r="B15" s="3" t="s">
        <v>81</v>
      </c>
      <c r="C15" s="3" t="s">
        <v>77</v>
      </c>
      <c r="D15" s="3" t="s">
        <v>80</v>
      </c>
      <c r="E15" s="3">
        <v>68643.0</v>
      </c>
      <c r="F15" s="3">
        <v>421.0</v>
      </c>
      <c r="G15" s="3">
        <v>10.3</v>
      </c>
      <c r="H15" s="3">
        <v>1.18</v>
      </c>
      <c r="I15" s="3">
        <v>12.91</v>
      </c>
      <c r="J15" s="3">
        <v>12.3</v>
      </c>
      <c r="K15" s="3">
        <v>11.6</v>
      </c>
      <c r="L15" s="3">
        <v>35.0</v>
      </c>
      <c r="M15" s="3">
        <v>0.65</v>
      </c>
      <c r="N15" s="3">
        <v>33946.0</v>
      </c>
      <c r="O15" s="3">
        <v>7551.0</v>
      </c>
      <c r="P15" s="3">
        <v>2.73</v>
      </c>
      <c r="Q15" s="3">
        <v>531.0</v>
      </c>
      <c r="R15" s="3">
        <v>484.6</v>
      </c>
      <c r="S15" s="3">
        <v>-7.05</v>
      </c>
    </row>
    <row r="16">
      <c r="A16" s="3" t="s">
        <v>59</v>
      </c>
      <c r="B16" s="3" t="s">
        <v>82</v>
      </c>
      <c r="C16" s="3" t="s">
        <v>77</v>
      </c>
      <c r="D16" s="3" t="s">
        <v>78</v>
      </c>
      <c r="E16" s="3">
        <v>133583.0</v>
      </c>
      <c r="F16" s="3">
        <v>308.35</v>
      </c>
      <c r="G16" s="3">
        <v>5.17</v>
      </c>
      <c r="H16" s="3">
        <v>1.34</v>
      </c>
      <c r="I16" s="3">
        <v>12.96</v>
      </c>
      <c r="J16" s="3">
        <v>28.8</v>
      </c>
      <c r="K16" s="3">
        <v>25.7</v>
      </c>
      <c r="L16" s="3">
        <v>8.0</v>
      </c>
      <c r="M16" s="3">
        <v>0.54</v>
      </c>
      <c r="N16" s="3">
        <v>455228.0</v>
      </c>
      <c r="O16" s="3">
        <v>25843.0</v>
      </c>
      <c r="P16" s="3">
        <v>5.62</v>
      </c>
      <c r="Q16" s="3">
        <v>391.65</v>
      </c>
      <c r="R16" s="3">
        <v>266.6</v>
      </c>
      <c r="S16" s="3">
        <v>-6.98</v>
      </c>
    </row>
    <row r="17">
      <c r="A17" s="3" t="s">
        <v>60</v>
      </c>
      <c r="B17" s="3" t="s">
        <v>83</v>
      </c>
      <c r="C17" s="3" t="s">
        <v>77</v>
      </c>
      <c r="D17" s="3" t="s">
        <v>78</v>
      </c>
      <c r="E17" s="3">
        <v>84740.0</v>
      </c>
      <c r="F17" s="3">
        <v>398.0</v>
      </c>
      <c r="G17" s="3">
        <v>4.7</v>
      </c>
      <c r="H17" s="3">
        <v>1.3</v>
      </c>
      <c r="I17" s="3">
        <v>28.5</v>
      </c>
      <c r="J17" s="3">
        <v>30.9</v>
      </c>
      <c r="K17" s="3">
        <v>22.2</v>
      </c>
      <c r="L17" s="3">
        <v>8.0</v>
      </c>
      <c r="M17" s="3">
        <v>0.85</v>
      </c>
      <c r="N17" s="3">
        <v>441771.0</v>
      </c>
      <c r="O17" s="3">
        <v>18047.0</v>
      </c>
      <c r="P17" s="3">
        <v>6.03</v>
      </c>
      <c r="Q17" s="3">
        <v>508.45</v>
      </c>
      <c r="R17" s="3">
        <v>316.2</v>
      </c>
      <c r="S17" s="3">
        <v>-8.83</v>
      </c>
    </row>
    <row r="18">
      <c r="A18" s="3" t="s">
        <v>63</v>
      </c>
      <c r="B18" s="3" t="s">
        <v>84</v>
      </c>
      <c r="C18" s="3" t="s">
        <v>77</v>
      </c>
      <c r="D18" s="3" t="s">
        <v>85</v>
      </c>
      <c r="E18" s="3">
        <v>114505.0</v>
      </c>
      <c r="F18" s="3">
        <v>174.01</v>
      </c>
      <c r="G18" s="3">
        <v>15.2</v>
      </c>
      <c r="H18" s="3">
        <v>1.3</v>
      </c>
      <c r="I18" s="3">
        <v>2.26</v>
      </c>
      <c r="J18" s="3">
        <v>8.71</v>
      </c>
      <c r="K18" s="3">
        <v>10.0</v>
      </c>
      <c r="L18" s="3">
        <v>4.0</v>
      </c>
      <c r="M18" s="3">
        <v>0.28</v>
      </c>
      <c r="N18" s="3">
        <v>141598.0</v>
      </c>
      <c r="O18" s="3">
        <v>7582.0</v>
      </c>
      <c r="P18" s="3">
        <v>4.23</v>
      </c>
      <c r="Q18" s="3">
        <v>195.45</v>
      </c>
      <c r="R18" s="3">
        <v>134.36</v>
      </c>
      <c r="S18" s="3">
        <v>-9.69</v>
      </c>
    </row>
    <row r="19">
      <c r="A19" s="3" t="s">
        <v>64</v>
      </c>
      <c r="B19" s="3" t="s">
        <v>86</v>
      </c>
      <c r="C19" s="3" t="s">
        <v>77</v>
      </c>
      <c r="D19" s="3" t="s">
        <v>87</v>
      </c>
      <c r="E19" s="3">
        <v>41490.0</v>
      </c>
      <c r="F19" s="3">
        <v>276.95</v>
      </c>
      <c r="G19" s="3">
        <v>10.6</v>
      </c>
      <c r="H19" s="3">
        <v>1.86</v>
      </c>
      <c r="I19" s="3">
        <v>9.14</v>
      </c>
      <c r="J19" s="3">
        <v>18.6</v>
      </c>
      <c r="K19" s="3">
        <v>22.7</v>
      </c>
      <c r="L19" s="3">
        <v>20.0</v>
      </c>
      <c r="M19" s="3">
        <v>0.11</v>
      </c>
      <c r="N19" s="3">
        <v>43495.0</v>
      </c>
      <c r="O19" s="3">
        <v>3913.0</v>
      </c>
      <c r="P19" s="3">
        <v>3.66</v>
      </c>
      <c r="Q19" s="3">
        <v>326.4</v>
      </c>
      <c r="R19" s="3">
        <v>235.35</v>
      </c>
      <c r="S19" s="3">
        <v>-7.96</v>
      </c>
    </row>
    <row r="20">
      <c r="A20" s="3" t="s">
        <v>67</v>
      </c>
      <c r="B20" s="3" t="s">
        <v>88</v>
      </c>
      <c r="C20" s="3" t="s">
        <v>77</v>
      </c>
      <c r="D20" s="3" t="s">
        <v>87</v>
      </c>
      <c r="E20" s="3">
        <v>11201.0</v>
      </c>
      <c r="F20" s="3">
        <v>1132.9</v>
      </c>
      <c r="G20" s="3">
        <v>13.2</v>
      </c>
      <c r="H20" s="3">
        <v>1.78</v>
      </c>
      <c r="I20" s="3">
        <v>13.36</v>
      </c>
      <c r="J20" s="3">
        <v>13.7</v>
      </c>
      <c r="K20" s="3">
        <v>18.3</v>
      </c>
      <c r="L20" s="3">
        <v>13.0</v>
      </c>
      <c r="M20" s="3">
        <v>0.03</v>
      </c>
      <c r="N20" s="3">
        <v>8240.0</v>
      </c>
      <c r="O20" s="3">
        <v>847.0</v>
      </c>
      <c r="P20" s="3">
        <v>2.62</v>
      </c>
      <c r="Q20" s="3">
        <v>1586.9</v>
      </c>
      <c r="R20" s="3">
        <v>900.0</v>
      </c>
      <c r="S20" s="3">
        <v>-24.87</v>
      </c>
    </row>
    <row r="21" ht="15.75" customHeight="1">
      <c r="A21" s="3" t="s">
        <v>68</v>
      </c>
      <c r="B21" s="3" t="s">
        <v>89</v>
      </c>
      <c r="C21" s="3" t="s">
        <v>77</v>
      </c>
      <c r="D21" s="3" t="s">
        <v>87</v>
      </c>
      <c r="E21" s="3">
        <v>80033.0</v>
      </c>
      <c r="F21" s="3">
        <v>727.65</v>
      </c>
      <c r="G21" s="3">
        <v>126.0</v>
      </c>
      <c r="H21" s="3">
        <v>16.6</v>
      </c>
      <c r="I21" s="3">
        <v>1.42</v>
      </c>
      <c r="J21" s="3">
        <v>14.1</v>
      </c>
      <c r="K21" s="3">
        <v>15.1</v>
      </c>
      <c r="L21" s="3">
        <v>19.0</v>
      </c>
      <c r="M21" s="3">
        <v>0.47</v>
      </c>
      <c r="N21" s="3">
        <v>5864.0</v>
      </c>
      <c r="O21" s="3">
        <v>637.0</v>
      </c>
      <c r="P21" s="3">
        <v>0.03</v>
      </c>
      <c r="Q21" s="3">
        <v>859.85</v>
      </c>
      <c r="R21" s="3">
        <v>462.8</v>
      </c>
      <c r="S21" s="3">
        <v>9.65</v>
      </c>
    </row>
    <row r="22" ht="15.75" customHeight="1">
      <c r="A22" s="3" t="s">
        <v>69</v>
      </c>
      <c r="B22" s="3" t="s">
        <v>90</v>
      </c>
      <c r="C22" s="3" t="s">
        <v>77</v>
      </c>
      <c r="D22" s="3" t="s">
        <v>78</v>
      </c>
      <c r="E22" s="3">
        <v>199321.0</v>
      </c>
      <c r="F22" s="3">
        <v>141.17</v>
      </c>
      <c r="G22" s="3">
        <v>4.73</v>
      </c>
      <c r="H22" s="3">
        <v>0.91</v>
      </c>
      <c r="I22" s="3">
        <v>29.81</v>
      </c>
      <c r="J22" s="3">
        <v>20.1</v>
      </c>
      <c r="K22" s="3">
        <v>18.8</v>
      </c>
      <c r="L22" s="3">
        <v>10.0</v>
      </c>
      <c r="M22" s="3">
        <v>0.6</v>
      </c>
      <c r="N22" s="3">
        <v>784415.0</v>
      </c>
      <c r="O22" s="3">
        <v>43677.0</v>
      </c>
      <c r="P22" s="3">
        <v>4.96</v>
      </c>
      <c r="Q22" s="3">
        <v>188.96</v>
      </c>
      <c r="R22" s="3">
        <v>130.22</v>
      </c>
      <c r="S22" s="3">
        <v>-4.55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3.4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3" t="s">
        <v>4</v>
      </c>
      <c r="B2" s="4">
        <v>2024.0</v>
      </c>
      <c r="C2" s="4">
        <v>229171.0</v>
      </c>
      <c r="D2" s="4">
        <v>-4910.0</v>
      </c>
    </row>
    <row r="3">
      <c r="A3" s="3" t="s">
        <v>4</v>
      </c>
      <c r="B3" s="4">
        <v>2025.0</v>
      </c>
      <c r="C3" s="4">
        <v>218543.0</v>
      </c>
      <c r="D3" s="4">
        <v>3174.0</v>
      </c>
    </row>
    <row r="4">
      <c r="A4" s="3" t="s">
        <v>4</v>
      </c>
      <c r="B4" s="4">
        <v>2026.0</v>
      </c>
      <c r="C4" s="4">
        <v>232140.0</v>
      </c>
      <c r="D4" s="4">
        <v>10886.0</v>
      </c>
    </row>
    <row r="5">
      <c r="A5" s="3" t="s">
        <v>9</v>
      </c>
      <c r="B5" s="4">
        <v>2024.0</v>
      </c>
      <c r="C5" s="4">
        <v>175006.0</v>
      </c>
      <c r="D5" s="4">
        <v>8973.0</v>
      </c>
    </row>
    <row r="6">
      <c r="A6" s="3" t="s">
        <v>9</v>
      </c>
      <c r="B6" s="4">
        <v>2025.0</v>
      </c>
      <c r="C6" s="4">
        <v>168824.0</v>
      </c>
      <c r="D6" s="4">
        <v>3491.0</v>
      </c>
    </row>
    <row r="7">
      <c r="A7" s="3" t="s">
        <v>9</v>
      </c>
      <c r="B7" s="4">
        <v>2026.0</v>
      </c>
      <c r="C7" s="4">
        <v>185470.0</v>
      </c>
      <c r="D7" s="4">
        <v>25508.0</v>
      </c>
    </row>
    <row r="8">
      <c r="A8" s="3" t="s">
        <v>13</v>
      </c>
      <c r="B8" s="4">
        <v>2024.0</v>
      </c>
      <c r="C8" s="4">
        <v>215962.0</v>
      </c>
      <c r="D8" s="4">
        <v>10155.0</v>
      </c>
    </row>
    <row r="9">
      <c r="A9" s="3" t="s">
        <v>13</v>
      </c>
      <c r="B9" s="4">
        <v>2025.0</v>
      </c>
      <c r="C9" s="4">
        <v>238496.0</v>
      </c>
      <c r="D9" s="4">
        <v>15002.0</v>
      </c>
    </row>
    <row r="10">
      <c r="A10" s="3" t="s">
        <v>13</v>
      </c>
      <c r="B10" s="4">
        <v>2026.0</v>
      </c>
      <c r="C10" s="4">
        <v>274944.0</v>
      </c>
      <c r="D10" s="4">
        <v>13391.0</v>
      </c>
    </row>
    <row r="11">
      <c r="A11" s="3" t="s">
        <v>23</v>
      </c>
      <c r="B11" s="4">
        <v>2024.0</v>
      </c>
      <c r="C11" s="4">
        <v>143727.0</v>
      </c>
      <c r="D11" s="4">
        <v>7539.0</v>
      </c>
    </row>
    <row r="12">
      <c r="A12" s="3" t="s">
        <v>23</v>
      </c>
      <c r="B12" s="4">
        <v>2025.0</v>
      </c>
      <c r="C12" s="4">
        <v>62717.0</v>
      </c>
      <c r="D12" s="4">
        <v>20535.0</v>
      </c>
    </row>
    <row r="13">
      <c r="A13" s="3" t="s">
        <v>23</v>
      </c>
      <c r="B13" s="4">
        <v>2026.0</v>
      </c>
      <c r="C13" s="4">
        <v>78437.0</v>
      </c>
      <c r="D13" s="4">
        <v>25096.0</v>
      </c>
    </row>
    <row r="14">
      <c r="A14" s="3" t="s">
        <v>31</v>
      </c>
      <c r="B14" s="4">
        <v>2024.0</v>
      </c>
      <c r="C14" s="4">
        <v>21308.0</v>
      </c>
      <c r="D14" s="4">
        <v>5567.0</v>
      </c>
    </row>
    <row r="15">
      <c r="A15" s="3" t="s">
        <v>31</v>
      </c>
      <c r="B15" s="4">
        <v>2025.0</v>
      </c>
      <c r="C15" s="4">
        <v>23906.0</v>
      </c>
      <c r="D15" s="4">
        <v>6520.0</v>
      </c>
    </row>
    <row r="16">
      <c r="A16" s="3" t="s">
        <v>31</v>
      </c>
      <c r="B16" s="4">
        <v>2026.0</v>
      </c>
      <c r="C16" s="4">
        <v>32071.0</v>
      </c>
      <c r="D16" s="4">
        <v>7450.0</v>
      </c>
    </row>
    <row r="17">
      <c r="A17" s="3" t="s">
        <v>41</v>
      </c>
      <c r="B17" s="4">
        <v>2024.0</v>
      </c>
      <c r="C17" s="4">
        <v>50354.0</v>
      </c>
      <c r="D17" s="4">
        <v>5943.0</v>
      </c>
    </row>
    <row r="18">
      <c r="A18" s="3" t="s">
        <v>41</v>
      </c>
      <c r="B18" s="4">
        <v>2025.0</v>
      </c>
      <c r="C18" s="4">
        <v>50129.0</v>
      </c>
      <c r="D18" s="4">
        <v>2846.0</v>
      </c>
    </row>
    <row r="19">
      <c r="A19" s="3" t="s">
        <v>41</v>
      </c>
      <c r="B19" s="4">
        <v>2026.0</v>
      </c>
      <c r="C19" s="4">
        <v>53225.0</v>
      </c>
      <c r="D19" s="4">
        <v>3361.0</v>
      </c>
    </row>
    <row r="20">
      <c r="A20" s="3" t="s">
        <v>43</v>
      </c>
      <c r="B20" s="4">
        <v>2024.0</v>
      </c>
      <c r="C20" s="4">
        <v>105378.0</v>
      </c>
      <c r="D20" s="4">
        <v>3067.0</v>
      </c>
    </row>
    <row r="21">
      <c r="A21" s="3" t="s">
        <v>43</v>
      </c>
      <c r="B21" s="4">
        <v>2025.0</v>
      </c>
      <c r="C21" s="4">
        <v>102479.0</v>
      </c>
      <c r="D21" s="4">
        <v>2372.0</v>
      </c>
    </row>
    <row r="22">
      <c r="A22" s="3" t="s">
        <v>43</v>
      </c>
      <c r="B22" s="4">
        <v>2026.0</v>
      </c>
      <c r="C22" s="4">
        <v>110811.0</v>
      </c>
      <c r="D22" s="4">
        <v>3373.0</v>
      </c>
    </row>
    <row r="23">
      <c r="A23" s="3" t="s">
        <v>44</v>
      </c>
      <c r="B23" s="4">
        <v>2024.0</v>
      </c>
      <c r="C23" s="4">
        <v>13149.0</v>
      </c>
      <c r="D23" s="4">
        <v>1988.0</v>
      </c>
    </row>
    <row r="24">
      <c r="A24" s="3" t="s">
        <v>44</v>
      </c>
      <c r="B24" s="4">
        <v>2025.0</v>
      </c>
      <c r="C24" s="4">
        <v>16788.0</v>
      </c>
      <c r="D24" s="4">
        <v>5268.0</v>
      </c>
    </row>
    <row r="25">
      <c r="A25" s="3" t="s">
        <v>44</v>
      </c>
      <c r="B25" s="4">
        <v>2026.0</v>
      </c>
      <c r="C25" s="4">
        <v>17843.0</v>
      </c>
      <c r="D25" s="4">
        <v>5797.0</v>
      </c>
    </row>
    <row r="26">
      <c r="A26" s="3" t="s">
        <v>46</v>
      </c>
      <c r="B26" s="4">
        <v>2024.0</v>
      </c>
      <c r="C26" s="4">
        <v>28934.0</v>
      </c>
      <c r="D26" s="4">
        <v>7787.0</v>
      </c>
    </row>
    <row r="27">
      <c r="A27" s="3" t="s">
        <v>46</v>
      </c>
      <c r="B27" s="4">
        <v>2025.0</v>
      </c>
      <c r="C27" s="4">
        <v>33969.0</v>
      </c>
      <c r="D27" s="4">
        <v>10279.0</v>
      </c>
    </row>
    <row r="28">
      <c r="A28" s="3" t="s">
        <v>46</v>
      </c>
      <c r="B28" s="4">
        <v>2026.0</v>
      </c>
      <c r="C28" s="4">
        <v>40658.0</v>
      </c>
      <c r="D28" s="4">
        <v>13712.0</v>
      </c>
    </row>
    <row r="29">
      <c r="A29" s="3" t="s">
        <v>47</v>
      </c>
      <c r="B29" s="4">
        <v>2024.0</v>
      </c>
      <c r="C29" s="4">
        <v>1447.0</v>
      </c>
      <c r="D29" s="4">
        <v>293.0</v>
      </c>
    </row>
    <row r="30">
      <c r="A30" s="3" t="s">
        <v>47</v>
      </c>
      <c r="B30" s="4">
        <v>2025.0</v>
      </c>
      <c r="C30" s="4">
        <v>1582.0</v>
      </c>
      <c r="D30" s="4">
        <v>382.0</v>
      </c>
    </row>
    <row r="31">
      <c r="A31" s="3" t="s">
        <v>47</v>
      </c>
      <c r="B31" s="4">
        <v>2026.0</v>
      </c>
      <c r="C31" s="4">
        <v>1473.0</v>
      </c>
      <c r="D31" s="4">
        <v>267.0</v>
      </c>
    </row>
    <row r="32">
      <c r="A32" s="3" t="s">
        <v>49</v>
      </c>
      <c r="B32" s="4">
        <v>2024.0</v>
      </c>
      <c r="C32" s="4">
        <v>899041.0</v>
      </c>
      <c r="D32" s="4">
        <v>79020.0</v>
      </c>
    </row>
    <row r="33">
      <c r="A33" s="3" t="s">
        <v>49</v>
      </c>
      <c r="B33" s="4">
        <v>2025.0</v>
      </c>
      <c r="C33" s="4">
        <v>962820.0</v>
      </c>
      <c r="D33" s="4">
        <v>81309.0</v>
      </c>
    </row>
    <row r="34">
      <c r="A34" s="3" t="s">
        <v>49</v>
      </c>
      <c r="B34" s="4">
        <v>2026.0</v>
      </c>
      <c r="C34" s="4">
        <v>1055780.0</v>
      </c>
      <c r="D34" s="4">
        <v>95754.0</v>
      </c>
    </row>
    <row r="35">
      <c r="A35" s="3" t="s">
        <v>53</v>
      </c>
      <c r="B35" s="4">
        <v>2024.0</v>
      </c>
      <c r="C35" s="4">
        <v>601581.0</v>
      </c>
      <c r="D35" s="4">
        <v>55273.0</v>
      </c>
    </row>
    <row r="36">
      <c r="A36" s="3" t="s">
        <v>53</v>
      </c>
      <c r="B36" s="4">
        <v>2025.0</v>
      </c>
      <c r="C36" s="4">
        <v>612065.0</v>
      </c>
      <c r="D36" s="4">
        <v>38329.0</v>
      </c>
    </row>
    <row r="37">
      <c r="A37" s="3" t="s">
        <v>53</v>
      </c>
      <c r="B37" s="4">
        <v>2026.0</v>
      </c>
      <c r="C37" s="4">
        <v>662247.0</v>
      </c>
      <c r="D37" s="4">
        <v>49793.0</v>
      </c>
    </row>
    <row r="38">
      <c r="A38" s="3" t="s">
        <v>56</v>
      </c>
      <c r="B38" s="4">
        <v>2024.0</v>
      </c>
      <c r="C38" s="4">
        <v>31749.0</v>
      </c>
      <c r="D38" s="4">
        <v>6980.0</v>
      </c>
    </row>
    <row r="39">
      <c r="A39" s="3" t="s">
        <v>56</v>
      </c>
      <c r="B39" s="4">
        <v>2025.0</v>
      </c>
      <c r="C39" s="4">
        <v>31703.0</v>
      </c>
      <c r="D39" s="4">
        <v>7040.0</v>
      </c>
    </row>
    <row r="40">
      <c r="A40" s="3" t="s">
        <v>56</v>
      </c>
      <c r="B40" s="4">
        <v>2026.0</v>
      </c>
      <c r="C40" s="4">
        <v>33946.0</v>
      </c>
      <c r="D40" s="4">
        <v>7551.0</v>
      </c>
    </row>
    <row r="41">
      <c r="A41" s="3" t="s">
        <v>59</v>
      </c>
      <c r="B41" s="4">
        <v>2024.0</v>
      </c>
      <c r="C41" s="4">
        <v>448083.0</v>
      </c>
      <c r="D41" s="4">
        <v>26859.0</v>
      </c>
    </row>
    <row r="42">
      <c r="A42" s="3" t="s">
        <v>59</v>
      </c>
      <c r="B42" s="4">
        <v>2025.0</v>
      </c>
      <c r="C42" s="4">
        <v>440272.0</v>
      </c>
      <c r="D42" s="4">
        <v>13337.0</v>
      </c>
    </row>
    <row r="43">
      <c r="A43" s="3" t="s">
        <v>59</v>
      </c>
      <c r="B43" s="4">
        <v>2026.0</v>
      </c>
      <c r="C43" s="4">
        <v>455228.0</v>
      </c>
      <c r="D43" s="4">
        <v>25843.0</v>
      </c>
    </row>
    <row r="44">
      <c r="A44" s="3" t="s">
        <v>60</v>
      </c>
      <c r="B44" s="4">
        <v>2024.0</v>
      </c>
      <c r="C44" s="4">
        <v>433857.0</v>
      </c>
      <c r="D44" s="4">
        <v>16015.0</v>
      </c>
    </row>
    <row r="45">
      <c r="A45" s="3" t="s">
        <v>60</v>
      </c>
      <c r="B45" s="4">
        <v>2025.0</v>
      </c>
      <c r="C45" s="4">
        <v>434106.0</v>
      </c>
      <c r="D45" s="4">
        <v>6736.0</v>
      </c>
    </row>
    <row r="46">
      <c r="A46" s="3" t="s">
        <v>60</v>
      </c>
      <c r="B46" s="4">
        <v>2026.0</v>
      </c>
      <c r="C46" s="4">
        <v>441771.0</v>
      </c>
      <c r="D46" s="4">
        <v>18047.0</v>
      </c>
    </row>
    <row r="47">
      <c r="A47" s="3" t="s">
        <v>63</v>
      </c>
      <c r="B47" s="4">
        <v>2024.0</v>
      </c>
      <c r="C47" s="4">
        <v>133228.0</v>
      </c>
      <c r="D47" s="4">
        <v>9903.0</v>
      </c>
    </row>
    <row r="48">
      <c r="A48" s="3" t="s">
        <v>63</v>
      </c>
      <c r="B48" s="4">
        <v>2025.0</v>
      </c>
      <c r="C48" s="4">
        <v>141903.0</v>
      </c>
      <c r="D48" s="4">
        <v>12463.0</v>
      </c>
    </row>
    <row r="49">
      <c r="A49" s="3" t="s">
        <v>63</v>
      </c>
      <c r="B49" s="4">
        <v>2026.0</v>
      </c>
      <c r="C49" s="4">
        <v>141598.0</v>
      </c>
      <c r="D49" s="4">
        <v>7582.0</v>
      </c>
    </row>
    <row r="50">
      <c r="A50" s="3" t="s">
        <v>64</v>
      </c>
      <c r="B50" s="4">
        <v>2024.0</v>
      </c>
      <c r="C50" s="4">
        <v>52729.0</v>
      </c>
      <c r="D50" s="4">
        <v>3652.0</v>
      </c>
    </row>
    <row r="51">
      <c r="A51" s="3" t="s">
        <v>64</v>
      </c>
      <c r="B51" s="4">
        <v>2025.0</v>
      </c>
      <c r="C51" s="4">
        <v>50982.0</v>
      </c>
      <c r="D51" s="4">
        <v>3973.0</v>
      </c>
    </row>
    <row r="52">
      <c r="A52" s="3" t="s">
        <v>64</v>
      </c>
      <c r="B52" s="4">
        <v>2026.0</v>
      </c>
      <c r="C52" s="4">
        <v>43495.0</v>
      </c>
      <c r="D52" s="4">
        <v>3913.0</v>
      </c>
    </row>
    <row r="53">
      <c r="A53" s="3" t="s">
        <v>67</v>
      </c>
      <c r="B53" s="4">
        <v>2024.0</v>
      </c>
      <c r="C53" s="4">
        <v>6245.0</v>
      </c>
      <c r="D53" s="4">
        <v>1289.0</v>
      </c>
    </row>
    <row r="54">
      <c r="A54" s="3" t="s">
        <v>67</v>
      </c>
      <c r="B54" s="4">
        <v>2025.0</v>
      </c>
      <c r="C54" s="4">
        <v>6924.0</v>
      </c>
      <c r="D54" s="4">
        <v>1045.0</v>
      </c>
    </row>
    <row r="55">
      <c r="A55" s="3" t="s">
        <v>67</v>
      </c>
      <c r="B55" s="4">
        <v>2026.0</v>
      </c>
      <c r="C55" s="4">
        <v>8240.0</v>
      </c>
      <c r="D55" s="4">
        <v>847.0</v>
      </c>
    </row>
    <row r="56">
      <c r="A56" s="3" t="s">
        <v>68</v>
      </c>
      <c r="B56" s="4">
        <v>2024.0</v>
      </c>
      <c r="C56" s="4">
        <v>4472.0</v>
      </c>
      <c r="D56" s="4">
        <v>653.0</v>
      </c>
    </row>
    <row r="57">
      <c r="A57" s="3" t="s">
        <v>68</v>
      </c>
      <c r="B57" s="4">
        <v>2025.0</v>
      </c>
      <c r="C57" s="4">
        <v>4986.0</v>
      </c>
      <c r="D57" s="4">
        <v>648.0</v>
      </c>
    </row>
    <row r="58">
      <c r="A58" s="3" t="s">
        <v>68</v>
      </c>
      <c r="B58" s="4">
        <v>2026.0</v>
      </c>
      <c r="C58" s="4">
        <v>5864.0</v>
      </c>
      <c r="D58" s="4">
        <v>637.0</v>
      </c>
    </row>
    <row r="59">
      <c r="A59" s="3" t="s">
        <v>69</v>
      </c>
      <c r="B59" s="4">
        <v>2024.0</v>
      </c>
      <c r="C59" s="4">
        <v>776352.0</v>
      </c>
      <c r="D59" s="4">
        <v>43161.0</v>
      </c>
    </row>
    <row r="60">
      <c r="A60" s="3" t="s">
        <v>69</v>
      </c>
      <c r="B60" s="4">
        <v>2025.0</v>
      </c>
      <c r="C60" s="4">
        <v>758106.0</v>
      </c>
      <c r="D60" s="4">
        <v>13789.0</v>
      </c>
    </row>
    <row r="61">
      <c r="A61" s="3" t="s">
        <v>69</v>
      </c>
      <c r="B61" s="4">
        <v>2026.0</v>
      </c>
      <c r="C61" s="4">
        <v>784415.0</v>
      </c>
      <c r="D61" s="4">
        <v>43677.0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3.43"/>
  </cols>
  <sheetData>
    <row r="1">
      <c r="A1" s="1" t="s">
        <v>0</v>
      </c>
      <c r="B1" s="1" t="s">
        <v>16</v>
      </c>
      <c r="C1" s="1" t="s">
        <v>18</v>
      </c>
      <c r="D1" s="1" t="s">
        <v>20</v>
      </c>
      <c r="E1" s="1" t="s">
        <v>21</v>
      </c>
    </row>
    <row r="2">
      <c r="A2" s="3" t="s">
        <v>4</v>
      </c>
      <c r="B2" s="4">
        <v>33.19</v>
      </c>
      <c r="C2" s="4">
        <v>18.58</v>
      </c>
      <c r="D2" s="4">
        <v>26.67</v>
      </c>
      <c r="E2" s="4">
        <v>21.36</v>
      </c>
    </row>
    <row r="3">
      <c r="A3" s="3" t="s">
        <v>9</v>
      </c>
      <c r="B3" s="4">
        <v>45.31</v>
      </c>
      <c r="C3" s="4">
        <v>25.38</v>
      </c>
      <c r="D3" s="4">
        <v>11.16</v>
      </c>
      <c r="E3" s="4">
        <v>17.47</v>
      </c>
    </row>
    <row r="4">
      <c r="A4" s="3" t="s">
        <v>13</v>
      </c>
      <c r="B4" s="4">
        <v>34.65</v>
      </c>
      <c r="C4" s="4">
        <v>29.96</v>
      </c>
      <c r="D4" s="4">
        <v>21.35</v>
      </c>
      <c r="E4" s="4">
        <v>13.21</v>
      </c>
    </row>
    <row r="5">
      <c r="A5" s="3" t="s">
        <v>23</v>
      </c>
      <c r="B5" s="4">
        <v>56.38</v>
      </c>
      <c r="C5" s="4">
        <v>13.93</v>
      </c>
      <c r="D5" s="4">
        <v>13.43</v>
      </c>
      <c r="E5" s="4">
        <v>16.05</v>
      </c>
    </row>
    <row r="6">
      <c r="A6" s="3" t="s">
        <v>31</v>
      </c>
      <c r="B6" s="4">
        <v>60.79</v>
      </c>
      <c r="C6" s="4">
        <v>13.6</v>
      </c>
      <c r="D6" s="4">
        <v>13.76</v>
      </c>
      <c r="E6" s="4">
        <v>11.84</v>
      </c>
    </row>
    <row r="7">
      <c r="A7" s="3" t="s">
        <v>41</v>
      </c>
      <c r="B7" s="4">
        <v>62.71</v>
      </c>
      <c r="C7" s="4">
        <v>9.19</v>
      </c>
      <c r="D7" s="4">
        <v>19.14</v>
      </c>
      <c r="E7" s="4">
        <v>8.73</v>
      </c>
    </row>
    <row r="8">
      <c r="A8" s="3" t="s">
        <v>43</v>
      </c>
      <c r="B8" s="4">
        <v>65.0</v>
      </c>
      <c r="C8" s="4">
        <v>5.01</v>
      </c>
      <c r="D8" s="4">
        <v>18.4</v>
      </c>
      <c r="E8" s="4">
        <v>11.58</v>
      </c>
    </row>
    <row r="9">
      <c r="A9" s="3" t="s">
        <v>44</v>
      </c>
      <c r="B9" s="4">
        <v>51.28</v>
      </c>
      <c r="C9" s="4">
        <v>22.27</v>
      </c>
      <c r="D9" s="4">
        <v>10.75</v>
      </c>
      <c r="E9" s="4">
        <v>15.69</v>
      </c>
    </row>
    <row r="10">
      <c r="A10" s="3" t="s">
        <v>46</v>
      </c>
      <c r="B10" s="4">
        <v>60.71</v>
      </c>
      <c r="C10" s="4">
        <v>2.39</v>
      </c>
      <c r="D10" s="4">
        <v>4.84</v>
      </c>
      <c r="E10" s="4">
        <v>4.12</v>
      </c>
    </row>
    <row r="11">
      <c r="A11" s="3" t="s">
        <v>47</v>
      </c>
      <c r="B11" s="4">
        <v>64.88</v>
      </c>
      <c r="C11" s="4">
        <v>4.16</v>
      </c>
      <c r="D11" s="4">
        <v>7.63</v>
      </c>
      <c r="E11" s="4">
        <v>23.52</v>
      </c>
    </row>
    <row r="12">
      <c r="A12" s="3" t="s">
        <v>49</v>
      </c>
      <c r="B12" s="4">
        <v>50.0</v>
      </c>
      <c r="C12" s="4">
        <v>18.67</v>
      </c>
      <c r="D12" s="4">
        <v>20.46</v>
      </c>
      <c r="E12" s="4">
        <v>10.7</v>
      </c>
    </row>
    <row r="13">
      <c r="A13" s="3" t="s">
        <v>53</v>
      </c>
      <c r="B13" s="4">
        <v>58.89</v>
      </c>
      <c r="C13" s="4">
        <v>7.97</v>
      </c>
      <c r="D13" s="4">
        <v>19.3</v>
      </c>
      <c r="E13" s="4">
        <v>3.54</v>
      </c>
    </row>
    <row r="14">
      <c r="A14" s="3" t="s">
        <v>56</v>
      </c>
      <c r="B14" s="4">
        <v>56.66</v>
      </c>
      <c r="C14" s="4">
        <v>7.67</v>
      </c>
      <c r="D14" s="4">
        <v>19.43</v>
      </c>
      <c r="E14" s="4">
        <v>6.36</v>
      </c>
    </row>
    <row r="15">
      <c r="A15" s="3" t="s">
        <v>59</v>
      </c>
      <c r="B15" s="4">
        <v>52.98</v>
      </c>
      <c r="C15" s="4">
        <v>19.57</v>
      </c>
      <c r="D15" s="4">
        <v>18.52</v>
      </c>
      <c r="E15" s="4">
        <v>8.48</v>
      </c>
    </row>
    <row r="16">
      <c r="A16" s="3" t="s">
        <v>60</v>
      </c>
      <c r="B16" s="4">
        <v>54.9</v>
      </c>
      <c r="C16" s="4">
        <v>17.26</v>
      </c>
      <c r="D16" s="4">
        <v>19.58</v>
      </c>
      <c r="E16" s="4">
        <v>8.24</v>
      </c>
    </row>
    <row r="17">
      <c r="A17" s="3" t="s">
        <v>63</v>
      </c>
      <c r="B17" s="4">
        <v>51.88</v>
      </c>
      <c r="C17" s="4">
        <v>13.04</v>
      </c>
      <c r="D17" s="4">
        <v>20.5</v>
      </c>
      <c r="E17" s="4">
        <v>6.98</v>
      </c>
    </row>
    <row r="18">
      <c r="A18" s="3" t="s">
        <v>64</v>
      </c>
      <c r="B18" s="4">
        <v>50.0</v>
      </c>
      <c r="C18" s="4">
        <v>27.13</v>
      </c>
      <c r="D18" s="4">
        <v>12.94</v>
      </c>
      <c r="E18" s="4">
        <v>9.95</v>
      </c>
    </row>
    <row r="19">
      <c r="A19" s="3" t="s">
        <v>67</v>
      </c>
      <c r="B19" s="4">
        <v>32.5</v>
      </c>
      <c r="C19" s="4">
        <v>24.13</v>
      </c>
      <c r="D19" s="4">
        <v>21.01</v>
      </c>
      <c r="E19" s="4">
        <v>12.34</v>
      </c>
    </row>
    <row r="20">
      <c r="A20" s="3" t="s">
        <v>68</v>
      </c>
      <c r="B20" s="4">
        <v>74.8</v>
      </c>
      <c r="C20" s="4">
        <v>12.75</v>
      </c>
      <c r="D20" s="4">
        <v>6.26</v>
      </c>
      <c r="E20" s="4">
        <v>6.18</v>
      </c>
    </row>
    <row r="21">
      <c r="A21" s="3" t="s">
        <v>69</v>
      </c>
      <c r="B21" s="4">
        <v>51.5</v>
      </c>
      <c r="C21" s="4">
        <v>9.84</v>
      </c>
      <c r="D21" s="4">
        <v>9.1</v>
      </c>
      <c r="E21" s="4">
        <v>9.96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3.43"/>
  </cols>
  <sheetData>
    <row r="1">
      <c r="A1" s="2" t="s">
        <v>0</v>
      </c>
      <c r="B1" s="4" t="s">
        <v>26</v>
      </c>
      <c r="C1" s="4" t="s">
        <v>28</v>
      </c>
      <c r="D1" s="4" t="s">
        <v>29</v>
      </c>
      <c r="E1" s="4" t="s">
        <v>32</v>
      </c>
      <c r="F1" s="4" t="s">
        <v>33</v>
      </c>
      <c r="G1" s="4" t="s">
        <v>35</v>
      </c>
      <c r="H1" s="4" t="s">
        <v>36</v>
      </c>
      <c r="I1" s="4" t="s">
        <v>2</v>
      </c>
      <c r="J1" s="4" t="s">
        <v>40</v>
      </c>
      <c r="K1" s="10" t="s">
        <v>42</v>
      </c>
      <c r="L1" s="11" t="s">
        <v>48</v>
      </c>
      <c r="M1" s="11" t="s">
        <v>52</v>
      </c>
      <c r="N1" s="11" t="s">
        <v>54</v>
      </c>
      <c r="O1" s="11" t="s">
        <v>55</v>
      </c>
      <c r="P1" s="4" t="s">
        <v>57</v>
      </c>
      <c r="Q1" s="4" t="s">
        <v>58</v>
      </c>
    </row>
    <row r="2">
      <c r="A2" s="3" t="s">
        <v>4</v>
      </c>
      <c r="B2" s="4">
        <v>-25656.0</v>
      </c>
      <c r="C2" s="4">
        <v>100920.0</v>
      </c>
      <c r="D2" s="4">
        <v>23928.0</v>
      </c>
      <c r="E2" s="3">
        <v>238123.0</v>
      </c>
      <c r="F2" s="4">
        <v>92382.0</v>
      </c>
      <c r="G2" s="4">
        <v>101965.0</v>
      </c>
      <c r="H2" s="4">
        <v>296515.0</v>
      </c>
      <c r="I2" s="3">
        <v>232140.0</v>
      </c>
      <c r="J2" s="4">
        <v>296515.0</v>
      </c>
      <c r="K2" s="12">
        <f t="shared" ref="K2:K11" si="1">B2/J2</f>
        <v>-0.08652513364</v>
      </c>
      <c r="L2" s="12">
        <f t="shared" ref="L2:L11" si="2">C2/J2</f>
        <v>0.3403537764</v>
      </c>
      <c r="M2" s="12">
        <f t="shared" ref="M2:M11" si="3">D2/J2</f>
        <v>0.08069743521</v>
      </c>
      <c r="N2" s="12">
        <f t="shared" ref="N2:N11" si="4">E2/H2</f>
        <v>0.8030723572</v>
      </c>
      <c r="O2" s="12">
        <f t="shared" ref="O2:O11" si="5">I2/J2</f>
        <v>0.7828946259</v>
      </c>
      <c r="P2" s="13">
        <f t="shared" ref="P2:P11" si="6">(1.2*K2)+(1.4*L2)+(3.3*M2)+(0.6*N2)+(0.999*O2)</f>
        <v>1.902921808</v>
      </c>
      <c r="Q2" s="14" t="str">
        <f t="shared" ref="Q2:Q11" si="7">IF(P2&gt;2.99,"SAFE", IF(P2&gt;=1.81,"GREY","DISTRESS"))</f>
        <v>GREY</v>
      </c>
    </row>
    <row r="3">
      <c r="A3" s="3" t="s">
        <v>9</v>
      </c>
      <c r="B3" s="4">
        <v>33540.0</v>
      </c>
      <c r="C3" s="4">
        <v>99748.0</v>
      </c>
      <c r="D3" s="4">
        <v>23576.0</v>
      </c>
      <c r="E3" s="3">
        <v>301708.0</v>
      </c>
      <c r="F3" s="4">
        <v>99310.0</v>
      </c>
      <c r="G3" s="4">
        <v>70295.0</v>
      </c>
      <c r="H3" s="4">
        <v>269658.0</v>
      </c>
      <c r="I3" s="3">
        <v>185470.0</v>
      </c>
      <c r="J3" s="4">
        <v>269658.0</v>
      </c>
      <c r="K3" s="12">
        <f t="shared" si="1"/>
        <v>0.1243797699</v>
      </c>
      <c r="L3" s="12">
        <f t="shared" si="2"/>
        <v>0.3699055841</v>
      </c>
      <c r="M3" s="12">
        <f t="shared" si="3"/>
        <v>0.08742926225</v>
      </c>
      <c r="N3" s="12">
        <f t="shared" si="4"/>
        <v>1.118854252</v>
      </c>
      <c r="O3" s="12">
        <f t="shared" si="5"/>
        <v>0.6877971356</v>
      </c>
      <c r="P3" s="13">
        <f t="shared" si="6"/>
        <v>2.314061997</v>
      </c>
      <c r="Q3" s="14" t="str">
        <f t="shared" si="7"/>
        <v>GREY</v>
      </c>
    </row>
    <row r="4">
      <c r="A4" s="3" t="s">
        <v>13</v>
      </c>
      <c r="B4" s="4">
        <v>16637.0</v>
      </c>
      <c r="C4" s="4">
        <v>136361.0</v>
      </c>
      <c r="D4" s="4">
        <v>28088.0</v>
      </c>
      <c r="E4" s="3">
        <v>216711.0</v>
      </c>
      <c r="F4" s="4">
        <v>99165.0</v>
      </c>
      <c r="G4" s="4">
        <v>108933.0</v>
      </c>
      <c r="H4" s="4">
        <v>344681.0</v>
      </c>
      <c r="I4" s="3">
        <v>274944.0</v>
      </c>
      <c r="J4" s="4">
        <v>344681.0</v>
      </c>
      <c r="K4" s="12">
        <f t="shared" si="1"/>
        <v>0.04826781865</v>
      </c>
      <c r="L4" s="12">
        <f t="shared" si="2"/>
        <v>0.395615076</v>
      </c>
      <c r="M4" s="12">
        <f t="shared" si="3"/>
        <v>0.08148984133</v>
      </c>
      <c r="N4" s="12">
        <f t="shared" si="4"/>
        <v>0.6287291728</v>
      </c>
      <c r="O4" s="12">
        <f t="shared" si="5"/>
        <v>0.7976766924</v>
      </c>
      <c r="P4" s="13">
        <f t="shared" si="6"/>
        <v>2.054815484</v>
      </c>
      <c r="Q4" s="14" t="str">
        <f t="shared" si="7"/>
        <v>GREY</v>
      </c>
    </row>
    <row r="5">
      <c r="A5" s="3" t="s">
        <v>23</v>
      </c>
      <c r="B5" s="4">
        <v>-22348.0</v>
      </c>
      <c r="C5" s="4">
        <v>49261.0</v>
      </c>
      <c r="D5" s="4">
        <v>19845.0</v>
      </c>
      <c r="E5" s="3">
        <v>109706.0</v>
      </c>
      <c r="F5" s="4">
        <v>32947.0</v>
      </c>
      <c r="G5" s="4">
        <v>149712.0</v>
      </c>
      <c r="H5" s="4">
        <v>232311.0</v>
      </c>
      <c r="I5" s="3">
        <v>78437.0</v>
      </c>
      <c r="J5" s="4">
        <v>232311.0</v>
      </c>
      <c r="K5" s="12">
        <f t="shared" si="1"/>
        <v>-0.09619863028</v>
      </c>
      <c r="L5" s="12">
        <f t="shared" si="2"/>
        <v>0.212047643</v>
      </c>
      <c r="M5" s="12">
        <f t="shared" si="3"/>
        <v>0.08542428038</v>
      </c>
      <c r="N5" s="12">
        <f t="shared" si="4"/>
        <v>0.4722376469</v>
      </c>
      <c r="O5" s="12">
        <f t="shared" si="5"/>
        <v>0.3376379078</v>
      </c>
      <c r="P5" s="13">
        <f t="shared" si="6"/>
        <v>1.083971327</v>
      </c>
      <c r="Q5" s="15" t="str">
        <f t="shared" si="7"/>
        <v>DISTRESS</v>
      </c>
    </row>
    <row r="6">
      <c r="A6" s="3" t="s">
        <v>31</v>
      </c>
      <c r="B6" s="4">
        <v>17305.0</v>
      </c>
      <c r="C6" s="4">
        <v>33183.0</v>
      </c>
      <c r="D6" s="4">
        <v>10271.0</v>
      </c>
      <c r="E6" s="3">
        <v>75539.0</v>
      </c>
      <c r="F6" s="4">
        <v>6407.0</v>
      </c>
      <c r="G6" s="4">
        <v>7851.0</v>
      </c>
      <c r="H6" s="4">
        <v>48320.0</v>
      </c>
      <c r="I6" s="3">
        <v>32071.0</v>
      </c>
      <c r="J6" s="4">
        <v>48320.0</v>
      </c>
      <c r="K6" s="12">
        <f t="shared" si="1"/>
        <v>0.3581332781</v>
      </c>
      <c r="L6" s="12">
        <f t="shared" si="2"/>
        <v>0.6867342715</v>
      </c>
      <c r="M6" s="12">
        <f t="shared" si="3"/>
        <v>0.2125620861</v>
      </c>
      <c r="N6" s="12">
        <f t="shared" si="4"/>
        <v>1.563307119</v>
      </c>
      <c r="O6" s="12">
        <f t="shared" si="5"/>
        <v>0.6637210265</v>
      </c>
      <c r="P6" s="13">
        <f t="shared" si="6"/>
        <v>3.693684375</v>
      </c>
      <c r="Q6" s="16" t="str">
        <f t="shared" si="7"/>
        <v>SAFE</v>
      </c>
    </row>
    <row r="7">
      <c r="A7" s="3" t="s">
        <v>41</v>
      </c>
      <c r="B7" s="4">
        <v>4600.0</v>
      </c>
      <c r="C7" s="4">
        <v>50797.0</v>
      </c>
      <c r="D7" s="4">
        <v>6239.0</v>
      </c>
      <c r="E7" s="3">
        <v>107680.0</v>
      </c>
      <c r="F7" s="4">
        <v>22610.0</v>
      </c>
      <c r="G7" s="4">
        <v>24253.0</v>
      </c>
      <c r="H7" s="4">
        <v>97762.0</v>
      </c>
      <c r="I7" s="3">
        <v>53225.0</v>
      </c>
      <c r="J7" s="4">
        <v>97762.0</v>
      </c>
      <c r="K7" s="12">
        <f t="shared" si="1"/>
        <v>0.0470530472</v>
      </c>
      <c r="L7" s="12">
        <f t="shared" si="2"/>
        <v>0.519598617</v>
      </c>
      <c r="M7" s="12">
        <f t="shared" si="3"/>
        <v>0.06381825249</v>
      </c>
      <c r="N7" s="12">
        <f t="shared" si="4"/>
        <v>1.101450461</v>
      </c>
      <c r="O7" s="12">
        <f t="shared" si="5"/>
        <v>0.5444344428</v>
      </c>
      <c r="P7" s="13">
        <f t="shared" si="6"/>
        <v>2.199262239</v>
      </c>
      <c r="Q7" s="14" t="str">
        <f t="shared" si="7"/>
        <v>GREY</v>
      </c>
    </row>
    <row r="8">
      <c r="A8" s="3" t="s">
        <v>43</v>
      </c>
      <c r="B8" s="4">
        <v>-7705.0</v>
      </c>
      <c r="C8" s="4">
        <v>56225.0</v>
      </c>
      <c r="D8" s="4">
        <v>8593.0</v>
      </c>
      <c r="E8" s="3">
        <v>70198.0</v>
      </c>
      <c r="F8" s="4">
        <v>31928.0</v>
      </c>
      <c r="G8" s="4">
        <v>43613.0</v>
      </c>
      <c r="H8" s="4">
        <v>135896.0</v>
      </c>
      <c r="I8" s="3">
        <v>110811.0</v>
      </c>
      <c r="J8" s="4">
        <v>135896.0</v>
      </c>
      <c r="K8" s="12">
        <f t="shared" si="1"/>
        <v>-0.05669776888</v>
      </c>
      <c r="L8" s="12">
        <f t="shared" si="2"/>
        <v>0.4137355036</v>
      </c>
      <c r="M8" s="12">
        <f t="shared" si="3"/>
        <v>0.06323217755</v>
      </c>
      <c r="N8" s="12">
        <f t="shared" si="4"/>
        <v>0.5165567787</v>
      </c>
      <c r="O8" s="12">
        <f t="shared" si="5"/>
        <v>0.8154103138</v>
      </c>
      <c r="P8" s="13">
        <f t="shared" si="6"/>
        <v>1.844387539</v>
      </c>
      <c r="Q8" s="14" t="str">
        <f t="shared" si="7"/>
        <v>GREY</v>
      </c>
    </row>
    <row r="9">
      <c r="A9" s="3" t="s">
        <v>44</v>
      </c>
      <c r="B9" s="4">
        <v>8396.0</v>
      </c>
      <c r="C9" s="4">
        <v>20685.0</v>
      </c>
      <c r="D9" s="4">
        <v>7848.0</v>
      </c>
      <c r="E9" s="3">
        <v>63731.0</v>
      </c>
      <c r="F9" s="4">
        <v>60.0</v>
      </c>
      <c r="G9" s="4">
        <v>4881.0</v>
      </c>
      <c r="H9" s="4">
        <v>26544.0</v>
      </c>
      <c r="I9" s="3">
        <v>17843.0</v>
      </c>
      <c r="J9" s="4">
        <v>26544.0</v>
      </c>
      <c r="K9" s="12">
        <f t="shared" si="1"/>
        <v>0.316305003</v>
      </c>
      <c r="L9" s="12">
        <f t="shared" si="2"/>
        <v>0.7792721519</v>
      </c>
      <c r="M9" s="12">
        <f t="shared" si="3"/>
        <v>0.2956600362</v>
      </c>
      <c r="N9" s="12">
        <f t="shared" si="4"/>
        <v>2.400956902</v>
      </c>
      <c r="O9" s="12">
        <f t="shared" si="5"/>
        <v>0.6722046414</v>
      </c>
      <c r="P9" s="13">
        <f t="shared" si="6"/>
        <v>4.558331713</v>
      </c>
      <c r="Q9" s="16" t="str">
        <f t="shared" si="7"/>
        <v>SAFE</v>
      </c>
    </row>
    <row r="10">
      <c r="A10" s="3" t="s">
        <v>46</v>
      </c>
      <c r="B10" s="4">
        <v>-8002.0</v>
      </c>
      <c r="C10" s="4">
        <v>21630.0</v>
      </c>
      <c r="D10" s="4">
        <v>23421.0</v>
      </c>
      <c r="E10" s="3">
        <v>227407.0</v>
      </c>
      <c r="F10" s="4">
        <v>8726.0</v>
      </c>
      <c r="G10" s="4">
        <v>10972.0</v>
      </c>
      <c r="H10" s="4">
        <v>42173.0</v>
      </c>
      <c r="I10" s="3">
        <v>40658.0</v>
      </c>
      <c r="J10" s="4">
        <v>42173.0</v>
      </c>
      <c r="K10" s="12">
        <f t="shared" si="1"/>
        <v>-0.1897422522</v>
      </c>
      <c r="L10" s="12">
        <f t="shared" si="2"/>
        <v>0.5128873924</v>
      </c>
      <c r="M10" s="12">
        <f t="shared" si="3"/>
        <v>0.5553553221</v>
      </c>
      <c r="N10" s="12">
        <f t="shared" si="4"/>
        <v>5.392241482</v>
      </c>
      <c r="O10" s="12">
        <f t="shared" si="5"/>
        <v>0.9640765419</v>
      </c>
      <c r="P10" s="13">
        <f t="shared" si="6"/>
        <v>6.521481564</v>
      </c>
      <c r="Q10" s="16" t="str">
        <f t="shared" si="7"/>
        <v>SAFE</v>
      </c>
    </row>
    <row r="11">
      <c r="A11" s="3" t="s">
        <v>47</v>
      </c>
      <c r="B11" s="4">
        <v>937.0</v>
      </c>
      <c r="C11" s="4">
        <v>2506.0</v>
      </c>
      <c r="D11" s="4">
        <v>338.0</v>
      </c>
      <c r="E11" s="3">
        <v>5746.0</v>
      </c>
      <c r="F11" s="4">
        <v>0.0</v>
      </c>
      <c r="G11" s="4">
        <v>496.0</v>
      </c>
      <c r="H11" s="4">
        <v>3206.0</v>
      </c>
      <c r="I11" s="3">
        <v>1473.0</v>
      </c>
      <c r="J11" s="4">
        <v>3206.0</v>
      </c>
      <c r="K11" s="12">
        <f t="shared" si="1"/>
        <v>0.2922645041</v>
      </c>
      <c r="L11" s="12">
        <f t="shared" si="2"/>
        <v>0.7816593886</v>
      </c>
      <c r="M11" s="12">
        <f t="shared" si="3"/>
        <v>0.1054273238</v>
      </c>
      <c r="N11" s="12">
        <f t="shared" si="4"/>
        <v>1.792264504</v>
      </c>
      <c r="O11" s="12">
        <f t="shared" si="5"/>
        <v>0.4594510293</v>
      </c>
      <c r="P11" s="13">
        <f t="shared" si="6"/>
        <v>3.327300998</v>
      </c>
      <c r="Q11" s="16" t="str">
        <f t="shared" si="7"/>
        <v>SAFE</v>
      </c>
    </row>
    <row r="12">
      <c r="K12" s="12"/>
      <c r="L12" s="12"/>
      <c r="M12" s="12"/>
      <c r="N12" s="12"/>
      <c r="O12" s="12"/>
      <c r="P12" s="17"/>
    </row>
    <row r="13">
      <c r="A13" s="3" t="s">
        <v>49</v>
      </c>
      <c r="B13" s="4">
        <v>-44436.0</v>
      </c>
      <c r="C13" s="4">
        <v>890498.0</v>
      </c>
      <c r="D13" s="4">
        <v>145008.0</v>
      </c>
      <c r="E13" s="3">
        <v>1763966.0</v>
      </c>
      <c r="F13" s="4">
        <v>402962.0</v>
      </c>
      <c r="G13" s="4">
        <v>870554.0</v>
      </c>
      <c r="H13" s="4">
        <v>2177546.0</v>
      </c>
      <c r="I13" s="3">
        <v>1055780.0</v>
      </c>
      <c r="J13" s="4">
        <v>2177546.0</v>
      </c>
      <c r="K13" s="12">
        <f t="shared" ref="K13:K22" si="8">B13/J13</f>
        <v>-0.02040645754</v>
      </c>
      <c r="L13" s="12">
        <f t="shared" ref="L13:L22" si="9">C13/J13</f>
        <v>0.4089456664</v>
      </c>
      <c r="M13" s="12">
        <f t="shared" ref="M13:M22" si="10">D13/J13</f>
        <v>0.06659239346</v>
      </c>
      <c r="N13" s="12">
        <f t="shared" ref="N13:N22" si="11">E13/H13</f>
        <v>0.8100706024</v>
      </c>
      <c r="O13" s="12">
        <f t="shared" ref="O13:O22" si="12">I13/J13</f>
        <v>0.4848485405</v>
      </c>
      <c r="P13" s="13">
        <f t="shared" ref="P13:P22" si="13">(1.2*K13)+(1.4*L13)+(3.3*M13)+(0.6*N13)+(0.999*O13)</f>
        <v>1.738197136</v>
      </c>
      <c r="Q13" s="15" t="str">
        <f t="shared" ref="Q13:Q22" si="14">IF(P13&gt;2.99,"SAFE", IF(P13&gt;=1.81,"GREY","DISTRESS"))</f>
        <v>DISTRESS</v>
      </c>
    </row>
    <row r="14">
      <c r="A14" s="3" t="s">
        <v>53</v>
      </c>
      <c r="B14" s="4">
        <v>-27064.0</v>
      </c>
      <c r="C14" s="4">
        <v>365478.0</v>
      </c>
      <c r="D14" s="4">
        <v>81088.0</v>
      </c>
      <c r="E14" s="3">
        <v>300228.0</v>
      </c>
      <c r="F14" s="4">
        <v>174316.0</v>
      </c>
      <c r="G14" s="4">
        <v>245821.0</v>
      </c>
      <c r="H14" s="4">
        <v>791905.0</v>
      </c>
      <c r="I14" s="3">
        <v>662247.0</v>
      </c>
      <c r="J14" s="4">
        <v>791905.0</v>
      </c>
      <c r="K14" s="12">
        <f t="shared" si="8"/>
        <v>-0.03417581654</v>
      </c>
      <c r="L14" s="12">
        <f t="shared" si="9"/>
        <v>0.46151748</v>
      </c>
      <c r="M14" s="12">
        <f t="shared" si="10"/>
        <v>0.1023961207</v>
      </c>
      <c r="N14" s="12">
        <f t="shared" si="11"/>
        <v>0.379121233</v>
      </c>
      <c r="O14" s="12">
        <f t="shared" si="12"/>
        <v>0.8362707648</v>
      </c>
      <c r="P14" s="13">
        <f t="shared" si="13"/>
        <v>2.005927924</v>
      </c>
      <c r="Q14" s="14" t="str">
        <f t="shared" si="14"/>
        <v>GREY</v>
      </c>
    </row>
    <row r="15">
      <c r="A15" s="3" t="s">
        <v>56</v>
      </c>
      <c r="B15" s="4">
        <v>1552.0</v>
      </c>
      <c r="C15" s="4">
        <v>56372.0</v>
      </c>
      <c r="D15" s="4">
        <v>10786.0</v>
      </c>
      <c r="E15" s="3">
        <v>68643.0</v>
      </c>
      <c r="F15" s="4">
        <v>37478.0</v>
      </c>
      <c r="G15" s="4">
        <v>28372.0</v>
      </c>
      <c r="H15" s="4">
        <v>123848.0</v>
      </c>
      <c r="I15" s="3">
        <v>33946.0</v>
      </c>
      <c r="J15" s="4">
        <v>123848.0</v>
      </c>
      <c r="K15" s="12">
        <f t="shared" si="8"/>
        <v>0.01253149021</v>
      </c>
      <c r="L15" s="12">
        <f t="shared" si="9"/>
        <v>0.4551708546</v>
      </c>
      <c r="M15" s="12">
        <f t="shared" si="10"/>
        <v>0.08709062722</v>
      </c>
      <c r="N15" s="12">
        <f t="shared" si="11"/>
        <v>0.5542519863</v>
      </c>
      <c r="O15" s="12">
        <f t="shared" si="12"/>
        <v>0.2740940508</v>
      </c>
      <c r="P15" s="13">
        <f t="shared" si="13"/>
        <v>1.546047203</v>
      </c>
      <c r="Q15" s="15" t="str">
        <f t="shared" si="14"/>
        <v>DISTRESS</v>
      </c>
    </row>
    <row r="16">
      <c r="A16" s="3" t="s">
        <v>59</v>
      </c>
      <c r="B16" s="4">
        <v>-21734.0</v>
      </c>
      <c r="C16" s="4">
        <v>95898.0</v>
      </c>
      <c r="D16" s="4">
        <v>23985.0</v>
      </c>
      <c r="E16" s="3">
        <v>133583.0</v>
      </c>
      <c r="F16" s="4">
        <v>54424.0</v>
      </c>
      <c r="G16" s="4">
        <v>94021.0</v>
      </c>
      <c r="H16" s="4">
        <v>248616.0</v>
      </c>
      <c r="I16" s="3">
        <v>455228.0</v>
      </c>
      <c r="J16" s="4">
        <v>248616.0</v>
      </c>
      <c r="K16" s="12">
        <f t="shared" si="8"/>
        <v>-0.08741995688</v>
      </c>
      <c r="L16" s="12">
        <f t="shared" si="9"/>
        <v>0.3857273868</v>
      </c>
      <c r="M16" s="12">
        <f t="shared" si="10"/>
        <v>0.09647408051</v>
      </c>
      <c r="N16" s="12">
        <f t="shared" si="11"/>
        <v>0.5373065289</v>
      </c>
      <c r="O16" s="12">
        <f t="shared" si="12"/>
        <v>1.831048686</v>
      </c>
      <c r="P16" s="13">
        <f t="shared" si="13"/>
        <v>2.905080413</v>
      </c>
      <c r="Q16" s="14" t="str">
        <f t="shared" si="14"/>
        <v>GREY</v>
      </c>
    </row>
    <row r="17">
      <c r="A17" s="3" t="s">
        <v>60</v>
      </c>
      <c r="B17" s="4">
        <v>-31613.0</v>
      </c>
      <c r="C17" s="4">
        <v>63428.0</v>
      </c>
      <c r="D17" s="4">
        <v>3318.0</v>
      </c>
      <c r="E17" s="3">
        <v>84740.0</v>
      </c>
      <c r="F17" s="4">
        <v>55964.0</v>
      </c>
      <c r="G17" s="4">
        <v>81519.0</v>
      </c>
      <c r="H17" s="4">
        <v>203039.0</v>
      </c>
      <c r="I17" s="3">
        <v>441771.0</v>
      </c>
      <c r="J17" s="4">
        <v>203039.0</v>
      </c>
      <c r="K17" s="12">
        <f t="shared" si="8"/>
        <v>-0.1556991514</v>
      </c>
      <c r="L17" s="12">
        <f t="shared" si="9"/>
        <v>0.3123931855</v>
      </c>
      <c r="M17" s="12">
        <f t="shared" si="10"/>
        <v>0.01634168805</v>
      </c>
      <c r="N17" s="12">
        <f t="shared" si="11"/>
        <v>0.4173582415</v>
      </c>
      <c r="O17" s="12">
        <f t="shared" si="12"/>
        <v>2.175793813</v>
      </c>
      <c r="P17" s="13">
        <f t="shared" si="13"/>
        <v>2.728472013</v>
      </c>
      <c r="Q17" s="14" t="str">
        <f t="shared" si="14"/>
        <v>GREY</v>
      </c>
    </row>
    <row r="18">
      <c r="A18" s="3" t="s">
        <v>63</v>
      </c>
      <c r="B18" s="4">
        <v>-3520.0</v>
      </c>
      <c r="C18" s="4">
        <v>82474.0</v>
      </c>
      <c r="D18" s="4">
        <v>10689.0</v>
      </c>
      <c r="E18" s="3">
        <v>114505.0</v>
      </c>
      <c r="F18" s="4">
        <v>24831.0</v>
      </c>
      <c r="G18" s="4">
        <v>26656.0</v>
      </c>
      <c r="H18" s="4">
        <v>140537.0</v>
      </c>
      <c r="I18" s="3">
        <v>141598.0</v>
      </c>
      <c r="J18" s="4">
        <v>140537.0</v>
      </c>
      <c r="K18" s="12">
        <f t="shared" si="8"/>
        <v>-0.02504678483</v>
      </c>
      <c r="L18" s="12">
        <f t="shared" si="9"/>
        <v>0.5868490149</v>
      </c>
      <c r="M18" s="12">
        <f t="shared" si="10"/>
        <v>0.07605826224</v>
      </c>
      <c r="N18" s="12">
        <f t="shared" si="11"/>
        <v>0.8147676413</v>
      </c>
      <c r="O18" s="12">
        <f t="shared" si="12"/>
        <v>1.007549613</v>
      </c>
      <c r="P18" s="13">
        <f t="shared" si="13"/>
        <v>2.537927393</v>
      </c>
      <c r="Q18" s="14" t="str">
        <f t="shared" si="14"/>
        <v>GREY</v>
      </c>
    </row>
    <row r="19">
      <c r="A19" s="3" t="s">
        <v>64</v>
      </c>
      <c r="B19" s="4">
        <v>10370.0</v>
      </c>
      <c r="C19" s="4">
        <v>20785.0</v>
      </c>
      <c r="D19" s="4">
        <v>5361.0</v>
      </c>
      <c r="E19" s="3">
        <v>41490.0</v>
      </c>
      <c r="F19" s="4">
        <v>2341.0</v>
      </c>
      <c r="G19" s="4">
        <v>2814.0</v>
      </c>
      <c r="H19" s="4">
        <v>27440.0</v>
      </c>
      <c r="I19" s="3">
        <v>43495.0</v>
      </c>
      <c r="J19" s="4">
        <v>27440.0</v>
      </c>
      <c r="K19" s="12">
        <f t="shared" si="8"/>
        <v>0.3779154519</v>
      </c>
      <c r="L19" s="12">
        <f t="shared" si="9"/>
        <v>0.7574708455</v>
      </c>
      <c r="M19" s="12">
        <f t="shared" si="10"/>
        <v>0.1953717201</v>
      </c>
      <c r="N19" s="12">
        <f t="shared" si="11"/>
        <v>1.512026239</v>
      </c>
      <c r="O19" s="12">
        <f t="shared" si="12"/>
        <v>1.585094752</v>
      </c>
      <c r="P19" s="13">
        <f t="shared" si="13"/>
        <v>4.649409803</v>
      </c>
      <c r="Q19" s="16" t="str">
        <f t="shared" si="14"/>
        <v>SAFE</v>
      </c>
    </row>
    <row r="20">
      <c r="A20" s="3" t="s">
        <v>67</v>
      </c>
      <c r="B20" s="4">
        <v>-124.0</v>
      </c>
      <c r="C20" s="4">
        <v>6335.0</v>
      </c>
      <c r="D20" s="4">
        <v>1161.0</v>
      </c>
      <c r="E20" s="3">
        <v>11201.0</v>
      </c>
      <c r="F20" s="4">
        <v>219.0</v>
      </c>
      <c r="G20" s="4">
        <v>2312.0</v>
      </c>
      <c r="H20" s="4">
        <v>8965.0</v>
      </c>
      <c r="I20" s="3">
        <v>8240.0</v>
      </c>
      <c r="J20" s="4">
        <v>8965.0</v>
      </c>
      <c r="K20" s="12">
        <f t="shared" si="8"/>
        <v>-0.01383156721</v>
      </c>
      <c r="L20" s="12">
        <f t="shared" si="9"/>
        <v>0.7066369214</v>
      </c>
      <c r="M20" s="12">
        <f t="shared" si="10"/>
        <v>0.1295036252</v>
      </c>
      <c r="N20" s="12">
        <f t="shared" si="11"/>
        <v>1.249414389</v>
      </c>
      <c r="O20" s="12">
        <f t="shared" si="12"/>
        <v>0.9191299498</v>
      </c>
      <c r="P20" s="13">
        <f t="shared" si="13"/>
        <v>3.067915226</v>
      </c>
      <c r="Q20" s="16" t="str">
        <f t="shared" si="14"/>
        <v>SAFE</v>
      </c>
    </row>
    <row r="21">
      <c r="A21" s="3" t="s">
        <v>68</v>
      </c>
      <c r="B21" s="4">
        <v>-1060.0</v>
      </c>
      <c r="C21" s="4">
        <v>4714.0</v>
      </c>
      <c r="D21" s="4">
        <v>963.0</v>
      </c>
      <c r="E21" s="3">
        <v>80033.0</v>
      </c>
      <c r="F21" s="4">
        <v>2252.0</v>
      </c>
      <c r="G21" s="4">
        <v>2368.0</v>
      </c>
      <c r="H21" s="4">
        <v>9444.0</v>
      </c>
      <c r="I21" s="3">
        <v>5864.0</v>
      </c>
      <c r="J21" s="4">
        <v>9444.0</v>
      </c>
      <c r="K21" s="12">
        <f t="shared" si="8"/>
        <v>-0.112240576</v>
      </c>
      <c r="L21" s="12">
        <f t="shared" si="9"/>
        <v>0.4991529013</v>
      </c>
      <c r="M21" s="12">
        <f t="shared" si="10"/>
        <v>0.1019695044</v>
      </c>
      <c r="N21" s="12">
        <f t="shared" si="11"/>
        <v>8.474481152</v>
      </c>
      <c r="O21" s="12">
        <f t="shared" si="12"/>
        <v>0.6209233376</v>
      </c>
      <c r="P21" s="13">
        <f t="shared" si="13"/>
        <v>6.605615841</v>
      </c>
      <c r="Q21" s="16" t="str">
        <f t="shared" si="14"/>
        <v>SAFE</v>
      </c>
    </row>
    <row r="22">
      <c r="A22" s="3" t="s">
        <v>69</v>
      </c>
      <c r="B22" s="4">
        <v>-56031.0</v>
      </c>
      <c r="C22" s="4">
        <v>205746.0</v>
      </c>
      <c r="D22" s="4">
        <v>65780.0</v>
      </c>
      <c r="E22" s="3">
        <v>199321.0</v>
      </c>
      <c r="F22" s="4">
        <v>131822.0</v>
      </c>
      <c r="G22" s="4">
        <v>177615.0</v>
      </c>
      <c r="H22" s="4">
        <v>528955.0</v>
      </c>
      <c r="I22" s="3">
        <v>784415.0</v>
      </c>
      <c r="J22" s="4">
        <v>528955.0</v>
      </c>
      <c r="K22" s="12">
        <f t="shared" si="8"/>
        <v>-0.1059277254</v>
      </c>
      <c r="L22" s="12">
        <f t="shared" si="9"/>
        <v>0.3889669254</v>
      </c>
      <c r="M22" s="12">
        <f t="shared" si="10"/>
        <v>0.1243584048</v>
      </c>
      <c r="N22" s="12">
        <f t="shared" si="11"/>
        <v>0.3768203344</v>
      </c>
      <c r="O22" s="12">
        <f t="shared" si="12"/>
        <v>1.482952236</v>
      </c>
      <c r="P22" s="13">
        <f t="shared" si="13"/>
        <v>2.535384645</v>
      </c>
      <c r="Q22" s="14" t="str">
        <f t="shared" si="14"/>
        <v>GREY</v>
      </c>
    </row>
    <row r="23">
      <c r="K23" s="18"/>
    </row>
    <row r="24">
      <c r="K24" s="18"/>
    </row>
    <row r="25">
      <c r="K25" s="18"/>
    </row>
    <row r="26">
      <c r="K26" s="18"/>
    </row>
    <row r="27">
      <c r="K27" s="18"/>
    </row>
    <row r="28">
      <c r="K28" s="18"/>
    </row>
    <row r="29">
      <c r="K29" s="18"/>
    </row>
    <row r="30">
      <c r="K30" s="18"/>
    </row>
    <row r="31">
      <c r="K31" s="18"/>
    </row>
    <row r="32">
      <c r="K32" s="18"/>
    </row>
    <row r="33">
      <c r="K33" s="18"/>
    </row>
    <row r="34">
      <c r="K34" s="18"/>
    </row>
    <row r="35">
      <c r="K35" s="18"/>
    </row>
    <row r="36">
      <c r="K36" s="18"/>
    </row>
    <row r="37">
      <c r="K37" s="18"/>
    </row>
    <row r="38">
      <c r="K38" s="18"/>
    </row>
    <row r="39">
      <c r="K39" s="18"/>
    </row>
    <row r="40">
      <c r="K40" s="18"/>
    </row>
    <row r="41">
      <c r="K41" s="18"/>
    </row>
    <row r="42">
      <c r="K42" s="18"/>
    </row>
    <row r="43">
      <c r="K43" s="18"/>
    </row>
    <row r="44">
      <c r="K44" s="18"/>
    </row>
    <row r="45">
      <c r="K45" s="18"/>
    </row>
    <row r="46">
      <c r="K46" s="18"/>
    </row>
    <row r="47">
      <c r="K47" s="18"/>
    </row>
    <row r="48">
      <c r="K48" s="18"/>
    </row>
    <row r="49">
      <c r="K49" s="18"/>
    </row>
    <row r="50">
      <c r="K50" s="18"/>
    </row>
    <row r="51">
      <c r="K51" s="18"/>
    </row>
    <row r="52">
      <c r="K52" s="18"/>
    </row>
    <row r="53">
      <c r="K53" s="18"/>
    </row>
    <row r="54">
      <c r="K54" s="18"/>
    </row>
    <row r="55">
      <c r="K55" s="18"/>
    </row>
    <row r="56">
      <c r="K56" s="18"/>
    </row>
    <row r="57">
      <c r="K57" s="18"/>
    </row>
    <row r="58">
      <c r="K58" s="18"/>
    </row>
    <row r="59">
      <c r="K59" s="18"/>
    </row>
    <row r="60">
      <c r="K60" s="18"/>
    </row>
    <row r="61">
      <c r="K61" s="18"/>
    </row>
    <row r="62">
      <c r="K62" s="18"/>
    </row>
    <row r="63">
      <c r="K63" s="18"/>
    </row>
    <row r="64">
      <c r="K64" s="18"/>
    </row>
    <row r="65">
      <c r="K65" s="18"/>
    </row>
    <row r="66">
      <c r="K66" s="18"/>
    </row>
    <row r="67">
      <c r="K67" s="18"/>
    </row>
    <row r="68">
      <c r="K68" s="18"/>
    </row>
    <row r="69">
      <c r="K69" s="18"/>
    </row>
    <row r="70">
      <c r="K70" s="18"/>
    </row>
    <row r="71">
      <c r="K71" s="18"/>
    </row>
    <row r="72">
      <c r="K72" s="18"/>
    </row>
    <row r="73">
      <c r="K73" s="18"/>
    </row>
    <row r="74">
      <c r="K74" s="18"/>
    </row>
    <row r="75">
      <c r="K75" s="18"/>
    </row>
    <row r="76">
      <c r="K76" s="18"/>
    </row>
    <row r="77">
      <c r="K77" s="18"/>
    </row>
    <row r="78">
      <c r="K78" s="18"/>
    </row>
    <row r="79">
      <c r="K79" s="18"/>
    </row>
    <row r="80">
      <c r="K80" s="18"/>
    </row>
    <row r="81">
      <c r="K81" s="18"/>
    </row>
    <row r="82">
      <c r="K82" s="18"/>
    </row>
    <row r="83">
      <c r="K83" s="18"/>
    </row>
    <row r="84">
      <c r="K84" s="18"/>
    </row>
    <row r="85">
      <c r="K85" s="18"/>
    </row>
    <row r="86">
      <c r="K86" s="18"/>
    </row>
    <row r="87">
      <c r="K87" s="18"/>
    </row>
    <row r="88">
      <c r="K88" s="18"/>
    </row>
    <row r="89">
      <c r="K89" s="18"/>
    </row>
    <row r="90">
      <c r="K90" s="18"/>
    </row>
    <row r="91">
      <c r="K91" s="18"/>
    </row>
    <row r="92">
      <c r="K92" s="18"/>
    </row>
    <row r="93">
      <c r="K93" s="18"/>
    </row>
    <row r="94">
      <c r="K94" s="18"/>
    </row>
    <row r="95">
      <c r="K95" s="18"/>
    </row>
    <row r="96">
      <c r="K96" s="18"/>
    </row>
    <row r="97">
      <c r="K97" s="18"/>
    </row>
    <row r="98">
      <c r="K98" s="18"/>
    </row>
    <row r="99">
      <c r="K99" s="18"/>
    </row>
    <row r="100">
      <c r="K100" s="18"/>
    </row>
    <row r="101">
      <c r="K101" s="18"/>
    </row>
    <row r="102">
      <c r="K102" s="18"/>
    </row>
    <row r="103">
      <c r="K103" s="18"/>
    </row>
    <row r="104">
      <c r="K104" s="18"/>
    </row>
    <row r="105">
      <c r="K105" s="18"/>
    </row>
    <row r="106">
      <c r="K106" s="18"/>
    </row>
    <row r="107">
      <c r="K107" s="18"/>
    </row>
    <row r="108">
      <c r="K108" s="18"/>
    </row>
    <row r="109">
      <c r="K109" s="18"/>
    </row>
    <row r="110">
      <c r="K110" s="18"/>
    </row>
    <row r="111">
      <c r="K111" s="18"/>
    </row>
    <row r="112">
      <c r="K112" s="18"/>
    </row>
    <row r="113">
      <c r="K113" s="18"/>
    </row>
    <row r="114">
      <c r="K114" s="18"/>
    </row>
    <row r="115">
      <c r="K115" s="18"/>
    </row>
    <row r="116">
      <c r="K116" s="18"/>
    </row>
    <row r="117">
      <c r="K117" s="18"/>
    </row>
    <row r="118">
      <c r="K118" s="18"/>
    </row>
    <row r="119">
      <c r="K119" s="18"/>
    </row>
    <row r="120">
      <c r="K120" s="18"/>
    </row>
    <row r="121">
      <c r="K121" s="18"/>
    </row>
    <row r="122">
      <c r="K122" s="18"/>
    </row>
    <row r="123">
      <c r="K123" s="18"/>
    </row>
    <row r="124">
      <c r="K124" s="18"/>
    </row>
    <row r="125">
      <c r="K125" s="18"/>
    </row>
    <row r="126">
      <c r="K126" s="18"/>
    </row>
    <row r="127">
      <c r="K127" s="18"/>
    </row>
    <row r="128">
      <c r="K128" s="18"/>
    </row>
    <row r="129">
      <c r="K129" s="18"/>
    </row>
    <row r="130">
      <c r="K130" s="18"/>
    </row>
    <row r="131">
      <c r="K131" s="18"/>
    </row>
    <row r="132">
      <c r="K132" s="18"/>
    </row>
    <row r="133">
      <c r="K133" s="18"/>
    </row>
    <row r="134">
      <c r="K134" s="18"/>
    </row>
    <row r="135">
      <c r="K135" s="18"/>
    </row>
    <row r="136">
      <c r="K136" s="18"/>
    </row>
    <row r="137">
      <c r="K137" s="18"/>
    </row>
    <row r="138">
      <c r="K138" s="18"/>
    </row>
    <row r="139">
      <c r="K139" s="18"/>
    </row>
    <row r="140">
      <c r="K140" s="18"/>
    </row>
    <row r="141">
      <c r="K141" s="18"/>
    </row>
    <row r="142">
      <c r="K142" s="18"/>
    </row>
    <row r="143">
      <c r="K143" s="18"/>
    </row>
    <row r="144">
      <c r="K144" s="18"/>
    </row>
    <row r="145">
      <c r="K145" s="18"/>
    </row>
    <row r="146">
      <c r="K146" s="18"/>
    </row>
    <row r="147">
      <c r="K147" s="18"/>
    </row>
    <row r="148">
      <c r="K148" s="18"/>
    </row>
    <row r="149">
      <c r="K149" s="18"/>
    </row>
    <row r="150">
      <c r="K150" s="18"/>
    </row>
    <row r="151">
      <c r="K151" s="18"/>
    </row>
    <row r="152">
      <c r="K152" s="18"/>
    </row>
    <row r="153">
      <c r="K153" s="18"/>
    </row>
    <row r="154">
      <c r="K154" s="18"/>
    </row>
    <row r="155">
      <c r="K155" s="18"/>
    </row>
    <row r="156">
      <c r="K156" s="18"/>
    </row>
    <row r="157">
      <c r="K157" s="18"/>
    </row>
    <row r="158">
      <c r="K158" s="18"/>
    </row>
    <row r="159">
      <c r="K159" s="18"/>
    </row>
    <row r="160">
      <c r="K160" s="18"/>
    </row>
    <row r="161">
      <c r="K161" s="18"/>
    </row>
    <row r="162">
      <c r="K162" s="18"/>
    </row>
    <row r="163">
      <c r="K163" s="18"/>
    </row>
    <row r="164">
      <c r="K164" s="18"/>
    </row>
    <row r="165">
      <c r="K165" s="18"/>
    </row>
    <row r="166">
      <c r="K166" s="18"/>
    </row>
    <row r="167">
      <c r="K167" s="18"/>
    </row>
    <row r="168">
      <c r="K168" s="18"/>
    </row>
    <row r="169">
      <c r="K169" s="18"/>
    </row>
    <row r="170">
      <c r="K170" s="18"/>
    </row>
    <row r="171">
      <c r="K171" s="18"/>
    </row>
    <row r="172">
      <c r="K172" s="18"/>
    </row>
    <row r="173">
      <c r="K173" s="18"/>
    </row>
    <row r="174">
      <c r="K174" s="18"/>
    </row>
    <row r="175">
      <c r="K175" s="18"/>
    </row>
    <row r="176">
      <c r="K176" s="18"/>
    </row>
    <row r="177">
      <c r="K177" s="18"/>
    </row>
    <row r="178">
      <c r="K178" s="18"/>
    </row>
    <row r="179">
      <c r="K179" s="18"/>
    </row>
    <row r="180">
      <c r="K180" s="18"/>
    </row>
    <row r="181">
      <c r="K181" s="18"/>
    </row>
    <row r="182">
      <c r="K182" s="18"/>
    </row>
    <row r="183">
      <c r="K183" s="18"/>
    </row>
    <row r="184">
      <c r="K184" s="18"/>
    </row>
    <row r="185">
      <c r="K185" s="18"/>
    </row>
    <row r="186">
      <c r="K186" s="18"/>
    </row>
    <row r="187">
      <c r="K187" s="18"/>
    </row>
    <row r="188">
      <c r="K188" s="18"/>
    </row>
    <row r="189">
      <c r="K189" s="18"/>
    </row>
    <row r="190">
      <c r="K190" s="18"/>
    </row>
    <row r="191">
      <c r="K191" s="18"/>
    </row>
    <row r="192">
      <c r="K192" s="18"/>
    </row>
    <row r="193">
      <c r="K193" s="18"/>
    </row>
    <row r="194">
      <c r="K194" s="18"/>
    </row>
    <row r="195">
      <c r="K195" s="18"/>
    </row>
    <row r="196">
      <c r="K196" s="18"/>
    </row>
    <row r="197">
      <c r="K197" s="18"/>
    </row>
    <row r="198">
      <c r="K198" s="18"/>
    </row>
    <row r="199">
      <c r="K199" s="18"/>
    </row>
    <row r="200">
      <c r="K200" s="18"/>
    </row>
    <row r="201">
      <c r="K201" s="18"/>
    </row>
    <row r="202">
      <c r="K202" s="18"/>
    </row>
    <row r="203">
      <c r="K203" s="18"/>
    </row>
    <row r="204">
      <c r="K204" s="18"/>
    </row>
    <row r="205">
      <c r="K205" s="18"/>
    </row>
    <row r="206">
      <c r="K206" s="18"/>
    </row>
    <row r="207">
      <c r="K207" s="18"/>
    </row>
    <row r="208">
      <c r="K208" s="18"/>
    </row>
    <row r="209">
      <c r="K209" s="18"/>
    </row>
    <row r="210">
      <c r="K210" s="18"/>
    </row>
    <row r="211">
      <c r="K211" s="18"/>
    </row>
    <row r="212">
      <c r="K212" s="18"/>
    </row>
    <row r="213">
      <c r="K213" s="18"/>
    </row>
    <row r="214">
      <c r="K214" s="18"/>
    </row>
    <row r="215">
      <c r="K215" s="18"/>
    </row>
    <row r="216">
      <c r="K216" s="18"/>
    </row>
    <row r="217">
      <c r="K217" s="18"/>
    </row>
    <row r="218">
      <c r="K218" s="18"/>
    </row>
    <row r="219">
      <c r="K219" s="18"/>
    </row>
    <row r="220">
      <c r="K220" s="18"/>
    </row>
    <row r="221">
      <c r="K221" s="18"/>
    </row>
    <row r="222">
      <c r="K222" s="18"/>
    </row>
    <row r="223">
      <c r="K223" s="18"/>
    </row>
    <row r="224">
      <c r="K224" s="18"/>
    </row>
    <row r="225">
      <c r="K225" s="18"/>
    </row>
    <row r="226">
      <c r="K226" s="18"/>
    </row>
    <row r="227">
      <c r="K227" s="18"/>
    </row>
    <row r="228">
      <c r="K228" s="18"/>
    </row>
    <row r="229">
      <c r="K229" s="18"/>
    </row>
    <row r="230">
      <c r="K230" s="18"/>
    </row>
    <row r="231">
      <c r="K231" s="18"/>
    </row>
    <row r="232">
      <c r="K232" s="18"/>
    </row>
    <row r="233">
      <c r="K233" s="18"/>
    </row>
    <row r="234">
      <c r="K234" s="18"/>
    </row>
    <row r="235">
      <c r="K235" s="18"/>
    </row>
    <row r="236">
      <c r="K236" s="18"/>
    </row>
    <row r="237">
      <c r="K237" s="18"/>
    </row>
    <row r="238">
      <c r="K238" s="18"/>
    </row>
    <row r="239">
      <c r="K239" s="18"/>
    </row>
    <row r="240">
      <c r="K240" s="18"/>
    </row>
    <row r="241">
      <c r="K241" s="18"/>
    </row>
    <row r="242">
      <c r="K242" s="18"/>
    </row>
    <row r="243">
      <c r="K243" s="18"/>
    </row>
    <row r="244">
      <c r="K244" s="18"/>
    </row>
    <row r="245">
      <c r="K245" s="18"/>
    </row>
    <row r="246">
      <c r="K246" s="18"/>
    </row>
    <row r="247">
      <c r="K247" s="18"/>
    </row>
    <row r="248">
      <c r="K248" s="18"/>
    </row>
    <row r="249">
      <c r="K249" s="18"/>
    </row>
    <row r="250">
      <c r="K250" s="18"/>
    </row>
    <row r="251">
      <c r="K251" s="18"/>
    </row>
    <row r="252">
      <c r="K252" s="18"/>
    </row>
    <row r="253">
      <c r="K253" s="18"/>
    </row>
    <row r="254">
      <c r="K254" s="18"/>
    </row>
    <row r="255">
      <c r="K255" s="18"/>
    </row>
    <row r="256">
      <c r="K256" s="18"/>
    </row>
    <row r="257">
      <c r="K257" s="18"/>
    </row>
    <row r="258">
      <c r="K258" s="18"/>
    </row>
    <row r="259">
      <c r="K259" s="18"/>
    </row>
    <row r="260">
      <c r="K260" s="18"/>
    </row>
    <row r="261">
      <c r="K261" s="18"/>
    </row>
    <row r="262">
      <c r="K262" s="18"/>
    </row>
    <row r="263">
      <c r="K263" s="18"/>
    </row>
    <row r="264">
      <c r="K264" s="18"/>
    </row>
    <row r="265">
      <c r="K265" s="18"/>
    </row>
    <row r="266">
      <c r="K266" s="18"/>
    </row>
    <row r="267">
      <c r="K267" s="18"/>
    </row>
    <row r="268">
      <c r="K268" s="18"/>
    </row>
    <row r="269">
      <c r="K269" s="18"/>
    </row>
    <row r="270">
      <c r="K270" s="18"/>
    </row>
    <row r="271">
      <c r="K271" s="18"/>
    </row>
    <row r="272">
      <c r="K272" s="18"/>
    </row>
    <row r="273">
      <c r="K273" s="18"/>
    </row>
    <row r="274">
      <c r="K274" s="18"/>
    </row>
    <row r="275">
      <c r="K275" s="18"/>
    </row>
    <row r="276">
      <c r="K276" s="18"/>
    </row>
    <row r="277">
      <c r="K277" s="18"/>
    </row>
    <row r="278">
      <c r="K278" s="18"/>
    </row>
    <row r="279">
      <c r="K279" s="18"/>
    </row>
    <row r="280">
      <c r="K280" s="18"/>
    </row>
    <row r="281">
      <c r="K281" s="18"/>
    </row>
    <row r="282">
      <c r="K282" s="18"/>
    </row>
    <row r="283">
      <c r="K283" s="18"/>
    </row>
    <row r="284">
      <c r="K284" s="18"/>
    </row>
    <row r="285">
      <c r="K285" s="18"/>
    </row>
    <row r="286">
      <c r="K286" s="18"/>
    </row>
    <row r="287">
      <c r="K287" s="18"/>
    </row>
    <row r="288">
      <c r="K288" s="18"/>
    </row>
    <row r="289">
      <c r="K289" s="18"/>
    </row>
    <row r="290">
      <c r="K290" s="18"/>
    </row>
    <row r="291">
      <c r="K291" s="18"/>
    </row>
    <row r="292">
      <c r="K292" s="18"/>
    </row>
    <row r="293">
      <c r="K293" s="18"/>
    </row>
    <row r="294">
      <c r="K294" s="18"/>
    </row>
    <row r="295">
      <c r="K295" s="18"/>
    </row>
    <row r="296">
      <c r="K296" s="18"/>
    </row>
    <row r="297">
      <c r="K297" s="18"/>
    </row>
    <row r="298">
      <c r="K298" s="18"/>
    </row>
    <row r="299">
      <c r="K299" s="18"/>
    </row>
    <row r="300">
      <c r="K300" s="18"/>
    </row>
    <row r="301">
      <c r="K301" s="18"/>
    </row>
    <row r="302">
      <c r="K302" s="18"/>
    </row>
    <row r="303">
      <c r="K303" s="18"/>
    </row>
    <row r="304">
      <c r="K304" s="18"/>
    </row>
    <row r="305">
      <c r="K305" s="18"/>
    </row>
    <row r="306">
      <c r="K306" s="18"/>
    </row>
    <row r="307">
      <c r="K307" s="18"/>
    </row>
    <row r="308">
      <c r="K308" s="18"/>
    </row>
    <row r="309">
      <c r="K309" s="18"/>
    </row>
    <row r="310">
      <c r="K310" s="18"/>
    </row>
    <row r="311">
      <c r="K311" s="18"/>
    </row>
    <row r="312">
      <c r="K312" s="18"/>
    </row>
    <row r="313">
      <c r="K313" s="18"/>
    </row>
    <row r="314">
      <c r="K314" s="18"/>
    </row>
    <row r="315">
      <c r="K315" s="18"/>
    </row>
    <row r="316">
      <c r="K316" s="18"/>
    </row>
    <row r="317">
      <c r="K317" s="18"/>
    </row>
    <row r="318">
      <c r="K318" s="18"/>
    </row>
    <row r="319">
      <c r="K319" s="18"/>
    </row>
    <row r="320">
      <c r="K320" s="18"/>
    </row>
    <row r="321">
      <c r="K321" s="18"/>
    </row>
    <row r="322">
      <c r="K322" s="18"/>
    </row>
    <row r="323">
      <c r="K323" s="18"/>
    </row>
    <row r="324">
      <c r="K324" s="18"/>
    </row>
    <row r="325">
      <c r="K325" s="18"/>
    </row>
    <row r="326">
      <c r="K326" s="18"/>
    </row>
    <row r="327">
      <c r="K327" s="18"/>
    </row>
    <row r="328">
      <c r="K328" s="18"/>
    </row>
    <row r="329">
      <c r="K329" s="18"/>
    </row>
    <row r="330">
      <c r="K330" s="18"/>
    </row>
    <row r="331">
      <c r="K331" s="18"/>
    </row>
    <row r="332">
      <c r="K332" s="18"/>
    </row>
    <row r="333">
      <c r="K333" s="18"/>
    </row>
    <row r="334">
      <c r="K334" s="18"/>
    </row>
    <row r="335">
      <c r="K335" s="18"/>
    </row>
    <row r="336">
      <c r="K336" s="18"/>
    </row>
    <row r="337">
      <c r="K337" s="18"/>
    </row>
    <row r="338">
      <c r="K338" s="18"/>
    </row>
    <row r="339">
      <c r="K339" s="18"/>
    </row>
    <row r="340">
      <c r="K340" s="18"/>
    </row>
    <row r="341">
      <c r="K341" s="18"/>
    </row>
    <row r="342">
      <c r="K342" s="18"/>
    </row>
    <row r="343">
      <c r="K343" s="18"/>
    </row>
    <row r="344">
      <c r="K344" s="18"/>
    </row>
    <row r="345">
      <c r="K345" s="18"/>
    </row>
    <row r="346">
      <c r="K346" s="18"/>
    </row>
    <row r="347">
      <c r="K347" s="18"/>
    </row>
    <row r="348">
      <c r="K348" s="18"/>
    </row>
    <row r="349">
      <c r="K349" s="18"/>
    </row>
    <row r="350">
      <c r="K350" s="18"/>
    </row>
    <row r="351">
      <c r="K351" s="18"/>
    </row>
    <row r="352">
      <c r="K352" s="18"/>
    </row>
    <row r="353">
      <c r="K353" s="18"/>
    </row>
    <row r="354">
      <c r="K354" s="18"/>
    </row>
    <row r="355">
      <c r="K355" s="18"/>
    </row>
    <row r="356">
      <c r="K356" s="18"/>
    </row>
    <row r="357">
      <c r="K357" s="18"/>
    </row>
    <row r="358">
      <c r="K358" s="18"/>
    </row>
    <row r="359">
      <c r="K359" s="18"/>
    </row>
    <row r="360">
      <c r="K360" s="18"/>
    </row>
    <row r="361">
      <c r="K361" s="18"/>
    </row>
    <row r="362">
      <c r="K362" s="18"/>
    </row>
    <row r="363">
      <c r="K363" s="18"/>
    </row>
    <row r="364">
      <c r="K364" s="18"/>
    </row>
    <row r="365">
      <c r="K365" s="18"/>
    </row>
    <row r="366">
      <c r="K366" s="18"/>
    </row>
    <row r="367">
      <c r="K367" s="18"/>
    </row>
    <row r="368">
      <c r="K368" s="18"/>
    </row>
    <row r="369">
      <c r="K369" s="18"/>
    </row>
    <row r="370">
      <c r="K370" s="18"/>
    </row>
    <row r="371">
      <c r="K371" s="18"/>
    </row>
    <row r="372">
      <c r="K372" s="18"/>
    </row>
    <row r="373">
      <c r="K373" s="18"/>
    </row>
    <row r="374">
      <c r="K374" s="18"/>
    </row>
    <row r="375">
      <c r="K375" s="18"/>
    </row>
    <row r="376">
      <c r="K376" s="18"/>
    </row>
    <row r="377">
      <c r="K377" s="18"/>
    </row>
    <row r="378">
      <c r="K378" s="18"/>
    </row>
    <row r="379">
      <c r="K379" s="18"/>
    </row>
    <row r="380">
      <c r="K380" s="18"/>
    </row>
    <row r="381">
      <c r="K381" s="18"/>
    </row>
    <row r="382">
      <c r="K382" s="18"/>
    </row>
    <row r="383">
      <c r="K383" s="18"/>
    </row>
    <row r="384">
      <c r="K384" s="18"/>
    </row>
    <row r="385">
      <c r="K385" s="18"/>
    </row>
    <row r="386">
      <c r="K386" s="18"/>
    </row>
    <row r="387">
      <c r="K387" s="18"/>
    </row>
    <row r="388">
      <c r="K388" s="18"/>
    </row>
    <row r="389">
      <c r="K389" s="18"/>
    </row>
    <row r="390">
      <c r="K390" s="18"/>
    </row>
    <row r="391">
      <c r="K391" s="18"/>
    </row>
    <row r="392">
      <c r="K392" s="18"/>
    </row>
    <row r="393">
      <c r="K393" s="18"/>
    </row>
    <row r="394">
      <c r="K394" s="18"/>
    </row>
    <row r="395">
      <c r="K395" s="18"/>
    </row>
    <row r="396">
      <c r="K396" s="18"/>
    </row>
    <row r="397">
      <c r="K397" s="18"/>
    </row>
    <row r="398">
      <c r="K398" s="18"/>
    </row>
    <row r="399">
      <c r="K399" s="18"/>
    </row>
    <row r="400">
      <c r="K400" s="18"/>
    </row>
    <row r="401">
      <c r="K401" s="18"/>
    </row>
    <row r="402">
      <c r="K402" s="18"/>
    </row>
    <row r="403">
      <c r="K403" s="18"/>
    </row>
    <row r="404">
      <c r="K404" s="18"/>
    </row>
    <row r="405">
      <c r="K405" s="18"/>
    </row>
    <row r="406">
      <c r="K406" s="18"/>
    </row>
    <row r="407">
      <c r="K407" s="18"/>
    </row>
    <row r="408">
      <c r="K408" s="18"/>
    </row>
    <row r="409">
      <c r="K409" s="18"/>
    </row>
    <row r="410">
      <c r="K410" s="18"/>
    </row>
    <row r="411">
      <c r="K411" s="18"/>
    </row>
    <row r="412">
      <c r="K412" s="18"/>
    </row>
    <row r="413">
      <c r="K413" s="18"/>
    </row>
    <row r="414">
      <c r="K414" s="18"/>
    </row>
    <row r="415">
      <c r="K415" s="18"/>
    </row>
    <row r="416">
      <c r="K416" s="18"/>
    </row>
    <row r="417">
      <c r="K417" s="18"/>
    </row>
    <row r="418">
      <c r="K418" s="18"/>
    </row>
    <row r="419">
      <c r="K419" s="18"/>
    </row>
    <row r="420">
      <c r="K420" s="18"/>
    </row>
    <row r="421">
      <c r="K421" s="18"/>
    </row>
    <row r="422">
      <c r="K422" s="18"/>
    </row>
    <row r="423">
      <c r="K423" s="18"/>
    </row>
    <row r="424">
      <c r="K424" s="18"/>
    </row>
    <row r="425">
      <c r="K425" s="18"/>
    </row>
    <row r="426">
      <c r="K426" s="18"/>
    </row>
    <row r="427">
      <c r="K427" s="18"/>
    </row>
    <row r="428">
      <c r="K428" s="18"/>
    </row>
    <row r="429">
      <c r="K429" s="18"/>
    </row>
    <row r="430">
      <c r="K430" s="18"/>
    </row>
    <row r="431">
      <c r="K431" s="18"/>
    </row>
    <row r="432">
      <c r="K432" s="18"/>
    </row>
    <row r="433">
      <c r="K433" s="18"/>
    </row>
    <row r="434">
      <c r="K434" s="18"/>
    </row>
    <row r="435">
      <c r="K435" s="18"/>
    </row>
    <row r="436">
      <c r="K436" s="18"/>
    </row>
    <row r="437">
      <c r="K437" s="18"/>
    </row>
    <row r="438">
      <c r="K438" s="18"/>
    </row>
    <row r="439">
      <c r="K439" s="18"/>
    </row>
    <row r="440">
      <c r="K440" s="18"/>
    </row>
    <row r="441">
      <c r="K441" s="18"/>
    </row>
    <row r="442">
      <c r="K442" s="18"/>
    </row>
    <row r="443">
      <c r="K443" s="18"/>
    </row>
    <row r="444">
      <c r="K444" s="18"/>
    </row>
    <row r="445">
      <c r="K445" s="18"/>
    </row>
    <row r="446">
      <c r="K446" s="18"/>
    </row>
    <row r="447">
      <c r="K447" s="18"/>
    </row>
    <row r="448">
      <c r="K448" s="18"/>
    </row>
    <row r="449">
      <c r="K449" s="18"/>
    </row>
    <row r="450">
      <c r="K450" s="18"/>
    </row>
    <row r="451">
      <c r="K451" s="18"/>
    </row>
    <row r="452">
      <c r="K452" s="18"/>
    </row>
    <row r="453">
      <c r="K453" s="18"/>
    </row>
    <row r="454">
      <c r="K454" s="18"/>
    </row>
    <row r="455">
      <c r="K455" s="18"/>
    </row>
    <row r="456">
      <c r="K456" s="18"/>
    </row>
    <row r="457">
      <c r="K457" s="18"/>
    </row>
    <row r="458">
      <c r="K458" s="18"/>
    </row>
    <row r="459">
      <c r="K459" s="18"/>
    </row>
    <row r="460">
      <c r="K460" s="18"/>
    </row>
    <row r="461">
      <c r="K461" s="18"/>
    </row>
    <row r="462">
      <c r="K462" s="18"/>
    </row>
    <row r="463">
      <c r="K463" s="18"/>
    </row>
    <row r="464">
      <c r="K464" s="18"/>
    </row>
    <row r="465">
      <c r="K465" s="18"/>
    </row>
    <row r="466">
      <c r="K466" s="18"/>
    </row>
    <row r="467">
      <c r="K467" s="18"/>
    </row>
    <row r="468">
      <c r="K468" s="18"/>
    </row>
    <row r="469">
      <c r="K469" s="18"/>
    </row>
    <row r="470">
      <c r="K470" s="18"/>
    </row>
    <row r="471">
      <c r="K471" s="18"/>
    </row>
    <row r="472">
      <c r="K472" s="18"/>
    </row>
    <row r="473">
      <c r="K473" s="18"/>
    </row>
    <row r="474">
      <c r="K474" s="18"/>
    </row>
    <row r="475">
      <c r="K475" s="18"/>
    </row>
    <row r="476">
      <c r="K476" s="18"/>
    </row>
    <row r="477">
      <c r="K477" s="18"/>
    </row>
    <row r="478">
      <c r="K478" s="18"/>
    </row>
    <row r="479">
      <c r="K479" s="18"/>
    </row>
    <row r="480">
      <c r="K480" s="18"/>
    </row>
    <row r="481">
      <c r="K481" s="18"/>
    </row>
    <row r="482">
      <c r="K482" s="18"/>
    </row>
    <row r="483">
      <c r="K483" s="18"/>
    </row>
    <row r="484">
      <c r="K484" s="18"/>
    </row>
    <row r="485">
      <c r="K485" s="18"/>
    </row>
    <row r="486">
      <c r="K486" s="18"/>
    </row>
    <row r="487">
      <c r="K487" s="18"/>
    </row>
    <row r="488">
      <c r="K488" s="18"/>
    </row>
    <row r="489">
      <c r="K489" s="18"/>
    </row>
    <row r="490">
      <c r="K490" s="18"/>
    </row>
    <row r="491">
      <c r="K491" s="18"/>
    </row>
    <row r="492">
      <c r="K492" s="18"/>
    </row>
    <row r="493">
      <c r="K493" s="18"/>
    </row>
    <row r="494">
      <c r="K494" s="18"/>
    </row>
    <row r="495">
      <c r="K495" s="18"/>
    </row>
    <row r="496">
      <c r="K496" s="18"/>
    </row>
    <row r="497">
      <c r="K497" s="18"/>
    </row>
    <row r="498">
      <c r="K498" s="18"/>
    </row>
    <row r="499">
      <c r="K499" s="18"/>
    </row>
    <row r="500">
      <c r="K500" s="18"/>
    </row>
    <row r="501">
      <c r="K501" s="18"/>
    </row>
    <row r="502">
      <c r="K502" s="18"/>
    </row>
    <row r="503">
      <c r="K503" s="18"/>
    </row>
    <row r="504">
      <c r="K504" s="18"/>
    </row>
    <row r="505">
      <c r="K505" s="18"/>
    </row>
    <row r="506">
      <c r="K506" s="18"/>
    </row>
    <row r="507">
      <c r="K507" s="18"/>
    </row>
    <row r="508">
      <c r="K508" s="18"/>
    </row>
    <row r="509">
      <c r="K509" s="18"/>
    </row>
    <row r="510">
      <c r="K510" s="18"/>
    </row>
    <row r="511">
      <c r="K511" s="18"/>
    </row>
    <row r="512">
      <c r="K512" s="18"/>
    </row>
    <row r="513">
      <c r="K513" s="18"/>
    </row>
    <row r="514">
      <c r="K514" s="18"/>
    </row>
    <row r="515">
      <c r="K515" s="18"/>
    </row>
    <row r="516">
      <c r="K516" s="18"/>
    </row>
    <row r="517">
      <c r="K517" s="18"/>
    </row>
    <row r="518">
      <c r="K518" s="18"/>
    </row>
    <row r="519">
      <c r="K519" s="18"/>
    </row>
    <row r="520">
      <c r="K520" s="18"/>
    </row>
    <row r="521">
      <c r="K521" s="18"/>
    </row>
    <row r="522">
      <c r="K522" s="18"/>
    </row>
    <row r="523">
      <c r="K523" s="18"/>
    </row>
    <row r="524">
      <c r="K524" s="18"/>
    </row>
    <row r="525">
      <c r="K525" s="18"/>
    </row>
    <row r="526">
      <c r="K526" s="18"/>
    </row>
    <row r="527">
      <c r="K527" s="18"/>
    </row>
    <row r="528">
      <c r="K528" s="18"/>
    </row>
    <row r="529">
      <c r="K529" s="18"/>
    </row>
    <row r="530">
      <c r="K530" s="18"/>
    </row>
    <row r="531">
      <c r="K531" s="18"/>
    </row>
    <row r="532">
      <c r="K532" s="18"/>
    </row>
    <row r="533">
      <c r="K533" s="18"/>
    </row>
    <row r="534">
      <c r="K534" s="18"/>
    </row>
    <row r="535">
      <c r="K535" s="18"/>
    </row>
    <row r="536">
      <c r="K536" s="18"/>
    </row>
    <row r="537">
      <c r="K537" s="18"/>
    </row>
    <row r="538">
      <c r="K538" s="18"/>
    </row>
    <row r="539">
      <c r="K539" s="18"/>
    </row>
    <row r="540">
      <c r="K540" s="18"/>
    </row>
    <row r="541">
      <c r="K541" s="18"/>
    </row>
    <row r="542">
      <c r="K542" s="18"/>
    </row>
    <row r="543">
      <c r="K543" s="18"/>
    </row>
    <row r="544">
      <c r="K544" s="18"/>
    </row>
    <row r="545">
      <c r="K545" s="18"/>
    </row>
    <row r="546">
      <c r="K546" s="18"/>
    </row>
    <row r="547">
      <c r="K547" s="18"/>
    </row>
    <row r="548">
      <c r="K548" s="18"/>
    </row>
    <row r="549">
      <c r="K549" s="18"/>
    </row>
    <row r="550">
      <c r="K550" s="18"/>
    </row>
    <row r="551">
      <c r="K551" s="18"/>
    </row>
    <row r="552">
      <c r="K552" s="18"/>
    </row>
    <row r="553">
      <c r="K553" s="18"/>
    </row>
    <row r="554">
      <c r="K554" s="18"/>
    </row>
    <row r="555">
      <c r="K555" s="18"/>
    </row>
    <row r="556">
      <c r="K556" s="18"/>
    </row>
    <row r="557">
      <c r="K557" s="18"/>
    </row>
    <row r="558">
      <c r="K558" s="18"/>
    </row>
    <row r="559">
      <c r="K559" s="18"/>
    </row>
    <row r="560">
      <c r="K560" s="18"/>
    </row>
    <row r="561">
      <c r="K561" s="18"/>
    </row>
    <row r="562">
      <c r="K562" s="18"/>
    </row>
    <row r="563">
      <c r="K563" s="18"/>
    </row>
    <row r="564">
      <c r="K564" s="18"/>
    </row>
    <row r="565">
      <c r="K565" s="18"/>
    </row>
    <row r="566">
      <c r="K566" s="18"/>
    </row>
    <row r="567">
      <c r="K567" s="18"/>
    </row>
    <row r="568">
      <c r="K568" s="18"/>
    </row>
    <row r="569">
      <c r="K569" s="18"/>
    </row>
    <row r="570">
      <c r="K570" s="18"/>
    </row>
    <row r="571">
      <c r="K571" s="18"/>
    </row>
    <row r="572">
      <c r="K572" s="18"/>
    </row>
    <row r="573">
      <c r="K573" s="18"/>
    </row>
    <row r="574">
      <c r="K574" s="18"/>
    </row>
    <row r="575">
      <c r="K575" s="18"/>
    </row>
    <row r="576">
      <c r="K576" s="18"/>
    </row>
    <row r="577">
      <c r="K577" s="18"/>
    </row>
    <row r="578">
      <c r="K578" s="18"/>
    </row>
    <row r="579">
      <c r="K579" s="18"/>
    </row>
    <row r="580">
      <c r="K580" s="18"/>
    </row>
    <row r="581">
      <c r="K581" s="18"/>
    </row>
    <row r="582">
      <c r="K582" s="18"/>
    </row>
    <row r="583">
      <c r="K583" s="18"/>
    </row>
    <row r="584">
      <c r="K584" s="18"/>
    </row>
    <row r="585">
      <c r="K585" s="18"/>
    </row>
    <row r="586">
      <c r="K586" s="18"/>
    </row>
    <row r="587">
      <c r="K587" s="18"/>
    </row>
    <row r="588">
      <c r="K588" s="18"/>
    </row>
    <row r="589">
      <c r="K589" s="18"/>
    </row>
    <row r="590">
      <c r="K590" s="18"/>
    </row>
    <row r="591">
      <c r="K591" s="18"/>
    </row>
    <row r="592">
      <c r="K592" s="18"/>
    </row>
    <row r="593">
      <c r="K593" s="18"/>
    </row>
    <row r="594">
      <c r="K594" s="18"/>
    </row>
    <row r="595">
      <c r="K595" s="18"/>
    </row>
    <row r="596">
      <c r="K596" s="18"/>
    </row>
    <row r="597">
      <c r="K597" s="18"/>
    </row>
    <row r="598">
      <c r="K598" s="18"/>
    </row>
    <row r="599">
      <c r="K599" s="18"/>
    </row>
    <row r="600">
      <c r="K600" s="18"/>
    </row>
    <row r="601">
      <c r="K601" s="18"/>
    </row>
    <row r="602">
      <c r="K602" s="18"/>
    </row>
    <row r="603">
      <c r="K603" s="18"/>
    </row>
    <row r="604">
      <c r="K604" s="18"/>
    </row>
    <row r="605">
      <c r="K605" s="18"/>
    </row>
    <row r="606">
      <c r="K606" s="18"/>
    </row>
    <row r="607">
      <c r="K607" s="18"/>
    </row>
    <row r="608">
      <c r="K608" s="18"/>
    </row>
    <row r="609">
      <c r="K609" s="18"/>
    </row>
    <row r="610">
      <c r="K610" s="18"/>
    </row>
    <row r="611">
      <c r="K611" s="18"/>
    </row>
    <row r="612">
      <c r="K612" s="18"/>
    </row>
    <row r="613">
      <c r="K613" s="18"/>
    </row>
    <row r="614">
      <c r="K614" s="18"/>
    </row>
    <row r="615">
      <c r="K615" s="18"/>
    </row>
    <row r="616">
      <c r="K616" s="18"/>
    </row>
    <row r="617">
      <c r="K617" s="18"/>
    </row>
    <row r="618">
      <c r="K618" s="18"/>
    </row>
    <row r="619">
      <c r="K619" s="18"/>
    </row>
    <row r="620">
      <c r="K620" s="18"/>
    </row>
    <row r="621">
      <c r="K621" s="18"/>
    </row>
    <row r="622">
      <c r="K622" s="18"/>
    </row>
    <row r="623">
      <c r="K623" s="18"/>
    </row>
    <row r="624">
      <c r="K624" s="18"/>
    </row>
    <row r="625">
      <c r="K625" s="18"/>
    </row>
    <row r="626">
      <c r="K626" s="18"/>
    </row>
    <row r="627">
      <c r="K627" s="18"/>
    </row>
    <row r="628">
      <c r="K628" s="18"/>
    </row>
    <row r="629">
      <c r="K629" s="18"/>
    </row>
    <row r="630">
      <c r="K630" s="18"/>
    </row>
    <row r="631">
      <c r="K631" s="18"/>
    </row>
    <row r="632">
      <c r="K632" s="18"/>
    </row>
    <row r="633">
      <c r="K633" s="18"/>
    </row>
    <row r="634">
      <c r="K634" s="18"/>
    </row>
    <row r="635">
      <c r="K635" s="18"/>
    </row>
    <row r="636">
      <c r="K636" s="18"/>
    </row>
    <row r="637">
      <c r="K637" s="18"/>
    </row>
    <row r="638">
      <c r="K638" s="18"/>
    </row>
    <row r="639">
      <c r="K639" s="18"/>
    </row>
    <row r="640">
      <c r="K640" s="18"/>
    </row>
    <row r="641">
      <c r="K641" s="18"/>
    </row>
    <row r="642">
      <c r="K642" s="18"/>
    </row>
    <row r="643">
      <c r="K643" s="18"/>
    </row>
    <row r="644">
      <c r="K644" s="18"/>
    </row>
    <row r="645">
      <c r="K645" s="18"/>
    </row>
    <row r="646">
      <c r="K646" s="18"/>
    </row>
    <row r="647">
      <c r="K647" s="18"/>
    </row>
    <row r="648">
      <c r="K648" s="18"/>
    </row>
    <row r="649">
      <c r="K649" s="18"/>
    </row>
    <row r="650">
      <c r="K650" s="18"/>
    </row>
    <row r="651">
      <c r="K651" s="18"/>
    </row>
    <row r="652">
      <c r="K652" s="18"/>
    </row>
    <row r="653">
      <c r="K653" s="18"/>
    </row>
    <row r="654">
      <c r="K654" s="18"/>
    </row>
    <row r="655">
      <c r="K655" s="18"/>
    </row>
    <row r="656">
      <c r="K656" s="18"/>
    </row>
    <row r="657">
      <c r="K657" s="18"/>
    </row>
    <row r="658">
      <c r="K658" s="18"/>
    </row>
    <row r="659">
      <c r="K659" s="18"/>
    </row>
    <row r="660">
      <c r="K660" s="18"/>
    </row>
    <row r="661">
      <c r="K661" s="18"/>
    </row>
    <row r="662">
      <c r="K662" s="18"/>
    </row>
    <row r="663">
      <c r="K663" s="18"/>
    </row>
    <row r="664">
      <c r="K664" s="18"/>
    </row>
    <row r="665">
      <c r="K665" s="18"/>
    </row>
    <row r="666">
      <c r="K666" s="18"/>
    </row>
    <row r="667">
      <c r="K667" s="18"/>
    </row>
    <row r="668">
      <c r="K668" s="18"/>
    </row>
    <row r="669">
      <c r="K669" s="18"/>
    </row>
    <row r="670">
      <c r="K670" s="18"/>
    </row>
    <row r="671">
      <c r="K671" s="18"/>
    </row>
    <row r="672">
      <c r="K672" s="18"/>
    </row>
    <row r="673">
      <c r="K673" s="18"/>
    </row>
    <row r="674">
      <c r="K674" s="18"/>
    </row>
    <row r="675">
      <c r="K675" s="18"/>
    </row>
    <row r="676">
      <c r="K676" s="18"/>
    </row>
    <row r="677">
      <c r="K677" s="18"/>
    </row>
    <row r="678">
      <c r="K678" s="18"/>
    </row>
    <row r="679">
      <c r="K679" s="18"/>
    </row>
    <row r="680">
      <c r="K680" s="18"/>
    </row>
    <row r="681">
      <c r="K681" s="18"/>
    </row>
    <row r="682">
      <c r="K682" s="18"/>
    </row>
    <row r="683">
      <c r="K683" s="18"/>
    </row>
    <row r="684">
      <c r="K684" s="18"/>
    </row>
    <row r="685">
      <c r="K685" s="18"/>
    </row>
    <row r="686">
      <c r="K686" s="18"/>
    </row>
    <row r="687">
      <c r="K687" s="18"/>
    </row>
    <row r="688">
      <c r="K688" s="18"/>
    </row>
    <row r="689">
      <c r="K689" s="18"/>
    </row>
    <row r="690">
      <c r="K690" s="18"/>
    </row>
    <row r="691">
      <c r="K691" s="18"/>
    </row>
    <row r="692">
      <c r="K692" s="18"/>
    </row>
    <row r="693">
      <c r="K693" s="18"/>
    </row>
    <row r="694">
      <c r="K694" s="18"/>
    </row>
    <row r="695">
      <c r="K695" s="18"/>
    </row>
    <row r="696">
      <c r="K696" s="18"/>
    </row>
    <row r="697">
      <c r="K697" s="18"/>
    </row>
    <row r="698">
      <c r="K698" s="18"/>
    </row>
    <row r="699">
      <c r="K699" s="18"/>
    </row>
    <row r="700">
      <c r="K700" s="18"/>
    </row>
    <row r="701">
      <c r="K701" s="18"/>
    </row>
    <row r="702">
      <c r="K702" s="18"/>
    </row>
    <row r="703">
      <c r="K703" s="18"/>
    </row>
    <row r="704">
      <c r="K704" s="18"/>
    </row>
    <row r="705">
      <c r="K705" s="18"/>
    </row>
    <row r="706">
      <c r="K706" s="18"/>
    </row>
    <row r="707">
      <c r="K707" s="18"/>
    </row>
    <row r="708">
      <c r="K708" s="18"/>
    </row>
    <row r="709">
      <c r="K709" s="18"/>
    </row>
    <row r="710">
      <c r="K710" s="18"/>
    </row>
    <row r="711">
      <c r="K711" s="18"/>
    </row>
    <row r="712">
      <c r="K712" s="18"/>
    </row>
    <row r="713">
      <c r="K713" s="18"/>
    </row>
    <row r="714">
      <c r="K714" s="18"/>
    </row>
    <row r="715">
      <c r="K715" s="18"/>
    </row>
    <row r="716">
      <c r="K716" s="18"/>
    </row>
    <row r="717">
      <c r="K717" s="18"/>
    </row>
    <row r="718">
      <c r="K718" s="18"/>
    </row>
    <row r="719">
      <c r="K719" s="18"/>
    </row>
    <row r="720">
      <c r="K720" s="18"/>
    </row>
    <row r="721">
      <c r="K721" s="18"/>
    </row>
    <row r="722">
      <c r="K722" s="18"/>
    </row>
    <row r="723">
      <c r="K723" s="18"/>
    </row>
    <row r="724">
      <c r="K724" s="18"/>
    </row>
    <row r="725">
      <c r="K725" s="18"/>
    </row>
    <row r="726">
      <c r="K726" s="18"/>
    </row>
    <row r="727">
      <c r="K727" s="18"/>
    </row>
    <row r="728">
      <c r="K728" s="18"/>
    </row>
    <row r="729">
      <c r="K729" s="18"/>
    </row>
    <row r="730">
      <c r="K730" s="18"/>
    </row>
    <row r="731">
      <c r="K731" s="18"/>
    </row>
    <row r="732">
      <c r="K732" s="18"/>
    </row>
    <row r="733">
      <c r="K733" s="18"/>
    </row>
    <row r="734">
      <c r="K734" s="18"/>
    </row>
    <row r="735">
      <c r="K735" s="18"/>
    </row>
    <row r="736">
      <c r="K736" s="18"/>
    </row>
    <row r="737">
      <c r="K737" s="18"/>
    </row>
    <row r="738">
      <c r="K738" s="18"/>
    </row>
    <row r="739">
      <c r="K739" s="18"/>
    </row>
    <row r="740">
      <c r="K740" s="18"/>
    </row>
    <row r="741">
      <c r="K741" s="18"/>
    </row>
    <row r="742">
      <c r="K742" s="18"/>
    </row>
    <row r="743">
      <c r="K743" s="18"/>
    </row>
    <row r="744">
      <c r="K744" s="18"/>
    </row>
    <row r="745">
      <c r="K745" s="18"/>
    </row>
    <row r="746">
      <c r="K746" s="18"/>
    </row>
    <row r="747">
      <c r="K747" s="18"/>
    </row>
    <row r="748">
      <c r="K748" s="18"/>
    </row>
    <row r="749">
      <c r="K749" s="18"/>
    </row>
    <row r="750">
      <c r="K750" s="18"/>
    </row>
    <row r="751">
      <c r="K751" s="18"/>
    </row>
    <row r="752">
      <c r="K752" s="18"/>
    </row>
    <row r="753">
      <c r="K753" s="18"/>
    </row>
    <row r="754">
      <c r="K754" s="18"/>
    </row>
    <row r="755">
      <c r="K755" s="18"/>
    </row>
    <row r="756">
      <c r="K756" s="18"/>
    </row>
    <row r="757">
      <c r="K757" s="18"/>
    </row>
    <row r="758">
      <c r="K758" s="18"/>
    </row>
    <row r="759">
      <c r="K759" s="18"/>
    </row>
    <row r="760">
      <c r="K760" s="18"/>
    </row>
    <row r="761">
      <c r="K761" s="18"/>
    </row>
    <row r="762">
      <c r="K762" s="18"/>
    </row>
    <row r="763">
      <c r="K763" s="18"/>
    </row>
    <row r="764">
      <c r="K764" s="18"/>
    </row>
    <row r="765">
      <c r="K765" s="18"/>
    </row>
    <row r="766">
      <c r="K766" s="18"/>
    </row>
    <row r="767">
      <c r="K767" s="18"/>
    </row>
    <row r="768">
      <c r="K768" s="18"/>
    </row>
    <row r="769">
      <c r="K769" s="18"/>
    </row>
    <row r="770">
      <c r="K770" s="18"/>
    </row>
    <row r="771">
      <c r="K771" s="18"/>
    </row>
    <row r="772">
      <c r="K772" s="18"/>
    </row>
    <row r="773">
      <c r="K773" s="18"/>
    </row>
    <row r="774">
      <c r="K774" s="18"/>
    </row>
    <row r="775">
      <c r="K775" s="18"/>
    </row>
    <row r="776">
      <c r="K776" s="18"/>
    </row>
    <row r="777">
      <c r="K777" s="18"/>
    </row>
    <row r="778">
      <c r="K778" s="18"/>
    </row>
    <row r="779">
      <c r="K779" s="18"/>
    </row>
    <row r="780">
      <c r="K780" s="18"/>
    </row>
    <row r="781">
      <c r="K781" s="18"/>
    </row>
    <row r="782">
      <c r="K782" s="18"/>
    </row>
    <row r="783">
      <c r="K783" s="18"/>
    </row>
    <row r="784">
      <c r="K784" s="18"/>
    </row>
    <row r="785">
      <c r="K785" s="18"/>
    </row>
    <row r="786">
      <c r="K786" s="18"/>
    </row>
    <row r="787">
      <c r="K787" s="18"/>
    </row>
    <row r="788">
      <c r="K788" s="18"/>
    </row>
    <row r="789">
      <c r="K789" s="18"/>
    </row>
    <row r="790">
      <c r="K790" s="18"/>
    </row>
    <row r="791">
      <c r="K791" s="18"/>
    </row>
    <row r="792">
      <c r="K792" s="18"/>
    </row>
    <row r="793">
      <c r="K793" s="18"/>
    </row>
    <row r="794">
      <c r="K794" s="18"/>
    </row>
    <row r="795">
      <c r="K795" s="18"/>
    </row>
    <row r="796">
      <c r="K796" s="18"/>
    </row>
    <row r="797">
      <c r="K797" s="18"/>
    </row>
    <row r="798">
      <c r="K798" s="18"/>
    </row>
    <row r="799">
      <c r="K799" s="18"/>
    </row>
    <row r="800">
      <c r="K800" s="18"/>
    </row>
    <row r="801">
      <c r="K801" s="18"/>
    </row>
    <row r="802">
      <c r="K802" s="18"/>
    </row>
    <row r="803">
      <c r="K803" s="18"/>
    </row>
    <row r="804">
      <c r="K804" s="18"/>
    </row>
    <row r="805">
      <c r="K805" s="18"/>
    </row>
    <row r="806">
      <c r="K806" s="18"/>
    </row>
    <row r="807">
      <c r="K807" s="18"/>
    </row>
    <row r="808">
      <c r="K808" s="18"/>
    </row>
    <row r="809">
      <c r="K809" s="18"/>
    </row>
    <row r="810">
      <c r="K810" s="18"/>
    </row>
    <row r="811">
      <c r="K811" s="18"/>
    </row>
    <row r="812">
      <c r="K812" s="18"/>
    </row>
    <row r="813">
      <c r="K813" s="18"/>
    </row>
    <row r="814">
      <c r="K814" s="18"/>
    </row>
    <row r="815">
      <c r="K815" s="18"/>
    </row>
    <row r="816">
      <c r="K816" s="18"/>
    </row>
    <row r="817">
      <c r="K817" s="18"/>
    </row>
    <row r="818">
      <c r="K818" s="18"/>
    </row>
    <row r="819">
      <c r="K819" s="18"/>
    </row>
    <row r="820">
      <c r="K820" s="18"/>
    </row>
    <row r="821">
      <c r="K821" s="18"/>
    </row>
    <row r="822">
      <c r="K822" s="18"/>
    </row>
    <row r="823">
      <c r="K823" s="18"/>
    </row>
    <row r="824">
      <c r="K824" s="18"/>
    </row>
    <row r="825">
      <c r="K825" s="18"/>
    </row>
    <row r="826">
      <c r="K826" s="18"/>
    </row>
    <row r="827">
      <c r="K827" s="18"/>
    </row>
    <row r="828">
      <c r="K828" s="18"/>
    </row>
    <row r="829">
      <c r="K829" s="18"/>
    </row>
    <row r="830">
      <c r="K830" s="18"/>
    </row>
    <row r="831">
      <c r="K831" s="18"/>
    </row>
    <row r="832">
      <c r="K832" s="18"/>
    </row>
    <row r="833">
      <c r="K833" s="18"/>
    </row>
    <row r="834">
      <c r="K834" s="18"/>
    </row>
    <row r="835">
      <c r="K835" s="18"/>
    </row>
    <row r="836">
      <c r="K836" s="18"/>
    </row>
    <row r="837">
      <c r="K837" s="18"/>
    </row>
    <row r="838">
      <c r="K838" s="18"/>
    </row>
    <row r="839">
      <c r="K839" s="18"/>
    </row>
    <row r="840">
      <c r="K840" s="18"/>
    </row>
    <row r="841">
      <c r="K841" s="18"/>
    </row>
    <row r="842">
      <c r="K842" s="18"/>
    </row>
    <row r="843">
      <c r="K843" s="18"/>
    </row>
    <row r="844">
      <c r="K844" s="18"/>
    </row>
    <row r="845">
      <c r="K845" s="18"/>
    </row>
    <row r="846">
      <c r="K846" s="18"/>
    </row>
    <row r="847">
      <c r="K847" s="18"/>
    </row>
    <row r="848">
      <c r="K848" s="18"/>
    </row>
    <row r="849">
      <c r="K849" s="18"/>
    </row>
    <row r="850">
      <c r="K850" s="18"/>
    </row>
    <row r="851">
      <c r="K851" s="18"/>
    </row>
    <row r="852">
      <c r="K852" s="18"/>
    </row>
    <row r="853">
      <c r="K853" s="18"/>
    </row>
    <row r="854">
      <c r="K854" s="18"/>
    </row>
    <row r="855">
      <c r="K855" s="18"/>
    </row>
    <row r="856">
      <c r="K856" s="18"/>
    </row>
    <row r="857">
      <c r="K857" s="18"/>
    </row>
    <row r="858">
      <c r="K858" s="18"/>
    </row>
    <row r="859">
      <c r="K859" s="18"/>
    </row>
    <row r="860">
      <c r="K860" s="18"/>
    </row>
    <row r="861">
      <c r="K861" s="18"/>
    </row>
    <row r="862">
      <c r="K862" s="18"/>
    </row>
    <row r="863">
      <c r="K863" s="18"/>
    </row>
    <row r="864">
      <c r="K864" s="18"/>
    </row>
    <row r="865">
      <c r="K865" s="18"/>
    </row>
    <row r="866">
      <c r="K866" s="18"/>
    </row>
    <row r="867">
      <c r="K867" s="18"/>
    </row>
    <row r="868">
      <c r="K868" s="18"/>
    </row>
    <row r="869">
      <c r="K869" s="18"/>
    </row>
    <row r="870">
      <c r="K870" s="18"/>
    </row>
    <row r="871">
      <c r="K871" s="18"/>
    </row>
    <row r="872">
      <c r="K872" s="18"/>
    </row>
    <row r="873">
      <c r="K873" s="18"/>
    </row>
    <row r="874">
      <c r="K874" s="18"/>
    </row>
    <row r="875">
      <c r="K875" s="18"/>
    </row>
    <row r="876">
      <c r="K876" s="18"/>
    </row>
    <row r="877">
      <c r="K877" s="18"/>
    </row>
    <row r="878">
      <c r="K878" s="18"/>
    </row>
    <row r="879">
      <c r="K879" s="18"/>
    </row>
    <row r="880">
      <c r="K880" s="18"/>
    </row>
    <row r="881">
      <c r="K881" s="18"/>
    </row>
    <row r="882">
      <c r="K882" s="18"/>
    </row>
    <row r="883">
      <c r="K883" s="18"/>
    </row>
    <row r="884">
      <c r="K884" s="18"/>
    </row>
    <row r="885">
      <c r="K885" s="18"/>
    </row>
    <row r="886">
      <c r="K886" s="18"/>
    </row>
    <row r="887">
      <c r="K887" s="18"/>
    </row>
    <row r="888">
      <c r="K888" s="18"/>
    </row>
    <row r="889">
      <c r="K889" s="18"/>
    </row>
    <row r="890">
      <c r="K890" s="18"/>
    </row>
    <row r="891">
      <c r="K891" s="18"/>
    </row>
    <row r="892">
      <c r="K892" s="18"/>
    </row>
    <row r="893">
      <c r="K893" s="18"/>
    </row>
    <row r="894">
      <c r="K894" s="18"/>
    </row>
    <row r="895">
      <c r="K895" s="18"/>
    </row>
    <row r="896">
      <c r="K896" s="18"/>
    </row>
    <row r="897">
      <c r="K897" s="18"/>
    </row>
    <row r="898">
      <c r="K898" s="18"/>
    </row>
    <row r="899">
      <c r="K899" s="18"/>
    </row>
    <row r="900">
      <c r="K900" s="18"/>
    </row>
    <row r="901">
      <c r="K901" s="18"/>
    </row>
    <row r="902">
      <c r="K902" s="18"/>
    </row>
    <row r="903">
      <c r="K903" s="18"/>
    </row>
    <row r="904">
      <c r="K904" s="18"/>
    </row>
    <row r="905">
      <c r="K905" s="18"/>
    </row>
    <row r="906">
      <c r="K906" s="18"/>
    </row>
    <row r="907">
      <c r="K907" s="18"/>
    </row>
    <row r="908">
      <c r="K908" s="18"/>
    </row>
    <row r="909">
      <c r="K909" s="18"/>
    </row>
    <row r="910">
      <c r="K910" s="18"/>
    </row>
    <row r="911">
      <c r="K911" s="18"/>
    </row>
    <row r="912">
      <c r="K912" s="18"/>
    </row>
    <row r="913">
      <c r="K913" s="18"/>
    </row>
    <row r="914">
      <c r="K914" s="18"/>
    </row>
    <row r="915">
      <c r="K915" s="18"/>
    </row>
    <row r="916">
      <c r="K916" s="18"/>
    </row>
    <row r="917">
      <c r="K917" s="18"/>
    </row>
    <row r="918">
      <c r="K918" s="18"/>
    </row>
    <row r="919">
      <c r="K919" s="18"/>
    </row>
    <row r="920">
      <c r="K920" s="18"/>
    </row>
    <row r="921">
      <c r="K921" s="18"/>
    </row>
    <row r="922">
      <c r="K922" s="18"/>
    </row>
    <row r="923">
      <c r="K923" s="18"/>
    </row>
    <row r="924">
      <c r="K924" s="18"/>
    </row>
    <row r="925">
      <c r="K925" s="18"/>
    </row>
    <row r="926">
      <c r="K926" s="18"/>
    </row>
    <row r="927">
      <c r="K927" s="18"/>
    </row>
    <row r="928">
      <c r="K928" s="18"/>
    </row>
    <row r="929">
      <c r="K929" s="18"/>
    </row>
    <row r="930">
      <c r="K930" s="18"/>
    </row>
    <row r="931">
      <c r="K931" s="18"/>
    </row>
    <row r="932">
      <c r="K932" s="18"/>
    </row>
    <row r="933">
      <c r="K933" s="18"/>
    </row>
    <row r="934">
      <c r="K934" s="18"/>
    </row>
    <row r="935">
      <c r="K935" s="18"/>
    </row>
    <row r="936">
      <c r="K936" s="18"/>
    </row>
    <row r="937">
      <c r="K937" s="18"/>
    </row>
    <row r="938">
      <c r="K938" s="18"/>
    </row>
    <row r="939">
      <c r="K939" s="18"/>
    </row>
    <row r="940">
      <c r="K940" s="18"/>
    </row>
    <row r="941">
      <c r="K941" s="18"/>
    </row>
    <row r="942">
      <c r="K942" s="18"/>
    </row>
    <row r="943">
      <c r="K943" s="18"/>
    </row>
    <row r="944">
      <c r="K944" s="18"/>
    </row>
    <row r="945">
      <c r="K945" s="18"/>
    </row>
    <row r="946">
      <c r="K946" s="18"/>
    </row>
    <row r="947">
      <c r="K947" s="18"/>
    </row>
    <row r="948">
      <c r="K948" s="18"/>
    </row>
    <row r="949">
      <c r="K949" s="18"/>
    </row>
    <row r="950">
      <c r="K950" s="18"/>
    </row>
    <row r="951">
      <c r="K951" s="18"/>
    </row>
    <row r="952">
      <c r="K952" s="18"/>
    </row>
    <row r="953">
      <c r="K953" s="18"/>
    </row>
    <row r="954">
      <c r="K954" s="18"/>
    </row>
    <row r="955">
      <c r="K955" s="18"/>
    </row>
    <row r="956">
      <c r="K956" s="18"/>
    </row>
    <row r="957">
      <c r="K957" s="18"/>
    </row>
    <row r="958">
      <c r="K958" s="18"/>
    </row>
    <row r="959">
      <c r="K959" s="18"/>
    </row>
    <row r="960">
      <c r="K960" s="18"/>
    </row>
    <row r="961">
      <c r="K961" s="18"/>
    </row>
    <row r="962">
      <c r="K962" s="18"/>
    </row>
    <row r="963">
      <c r="K963" s="18"/>
    </row>
    <row r="964">
      <c r="K964" s="18"/>
    </row>
    <row r="965">
      <c r="K965" s="18"/>
    </row>
    <row r="966">
      <c r="K966" s="18"/>
    </row>
    <row r="967">
      <c r="K967" s="18"/>
    </row>
    <row r="968">
      <c r="K968" s="18"/>
    </row>
    <row r="969">
      <c r="K969" s="18"/>
    </row>
    <row r="970">
      <c r="K970" s="18"/>
    </row>
    <row r="971">
      <c r="K971" s="18"/>
    </row>
    <row r="972">
      <c r="K972" s="18"/>
    </row>
    <row r="973">
      <c r="K973" s="18"/>
    </row>
    <row r="974">
      <c r="K974" s="18"/>
    </row>
    <row r="975">
      <c r="K975" s="18"/>
    </row>
    <row r="976">
      <c r="K976" s="18"/>
    </row>
    <row r="977">
      <c r="K977" s="18"/>
    </row>
    <row r="978">
      <c r="K978" s="18"/>
    </row>
    <row r="979">
      <c r="K979" s="18"/>
    </row>
    <row r="980">
      <c r="K980" s="18"/>
    </row>
    <row r="981">
      <c r="K981" s="18"/>
    </row>
    <row r="982">
      <c r="K982" s="18"/>
    </row>
    <row r="983">
      <c r="K983" s="18"/>
    </row>
    <row r="984">
      <c r="K984" s="18"/>
    </row>
    <row r="985">
      <c r="K985" s="18"/>
    </row>
    <row r="986">
      <c r="K986" s="18"/>
    </row>
    <row r="987">
      <c r="K987" s="18"/>
    </row>
    <row r="988">
      <c r="K988" s="18"/>
    </row>
    <row r="989">
      <c r="K989" s="18"/>
    </row>
    <row r="990">
      <c r="K990" s="18"/>
    </row>
    <row r="991">
      <c r="K991" s="18"/>
    </row>
    <row r="992">
      <c r="K992" s="18"/>
    </row>
    <row r="993">
      <c r="K993" s="18"/>
    </row>
    <row r="994">
      <c r="K994" s="18"/>
    </row>
    <row r="995">
      <c r="K995" s="18"/>
    </row>
    <row r="996">
      <c r="K996" s="18"/>
    </row>
    <row r="997">
      <c r="K997" s="18"/>
    </row>
    <row r="998">
      <c r="K998" s="18"/>
    </row>
    <row r="999">
      <c r="K999" s="18"/>
    </row>
    <row r="1000">
      <c r="K1000" s="18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2026-07-03T06:21:49Z</dcterms:created>
  <dc:creator>Rochit Surana</dc:creator>
</cp:coreProperties>
</file>